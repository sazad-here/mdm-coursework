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ZhuanZ\Downloads\"/>
    </mc:Choice>
  </mc:AlternateContent>
  <xr:revisionPtr revIDLastSave="0" documentId="13_ncr:1_{6FD4AC02-EC49-44AE-B97E-0E1048CBC32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odel" sheetId="2" r:id="rId1"/>
    <sheet name="Investing Model" sheetId="3" r:id="rId2"/>
    <sheet name="Min Investment" sheetId="4" r:id="rId3"/>
  </sheets>
  <definedNames>
    <definedName name="solver_adj" localSheetId="1" hidden="1">'Investing Model'!$B$25:$F$25</definedName>
    <definedName name="solver_adj" localSheetId="2" hidden="1">'Min Investment'!$B$17:$F$17</definedName>
    <definedName name="solver_cvg" localSheetId="1" hidden="1">0.0001</definedName>
    <definedName name="solver_cvg" localSheetId="2" hidden="1">0.0001</definedName>
    <definedName name="solver_drv" localSheetId="1" hidden="1">1</definedName>
    <definedName name="solver_drv" localSheetId="2" hidden="1">1</definedName>
    <definedName name="solver_eng" localSheetId="1" hidden="1">2</definedName>
    <definedName name="solver_eng" localSheetId="2" hidden="1">2</definedName>
    <definedName name="solver_est" localSheetId="1" hidden="1">1</definedName>
    <definedName name="solver_est" localSheetId="2" hidden="1">1</definedName>
    <definedName name="solver_itr" localSheetId="1" hidden="1">2147483647</definedName>
    <definedName name="solver_itr" localSheetId="2" hidden="1">2147483647</definedName>
    <definedName name="solver_lhs1" localSheetId="1" hidden="1">'Investing Model'!$B$25:$F$25</definedName>
    <definedName name="solver_lhs1" localSheetId="2" hidden="1">'Min Investment'!$B$17:$F$17</definedName>
    <definedName name="solver_lhs2" localSheetId="1" hidden="1">'Investing Model'!$E$31:$E$34</definedName>
    <definedName name="solver_lhs2" localSheetId="2" hidden="1">'Min Investment'!$E$23:$E$26</definedName>
    <definedName name="solver_mip" localSheetId="1" hidden="1">2147483647</definedName>
    <definedName name="solver_mip" localSheetId="2" hidden="1">2147483647</definedName>
    <definedName name="solver_mni" localSheetId="1" hidden="1">30</definedName>
    <definedName name="solver_mni" localSheetId="2" hidden="1">30</definedName>
    <definedName name="solver_mrt" localSheetId="1" hidden="1">0.075</definedName>
    <definedName name="solver_mrt" localSheetId="2" hidden="1">0.075</definedName>
    <definedName name="solver_msl" localSheetId="1" hidden="1">2</definedName>
    <definedName name="solver_msl" localSheetId="2" hidden="1">2</definedName>
    <definedName name="solver_neg" localSheetId="1" hidden="1">1</definedName>
    <definedName name="solver_neg" localSheetId="2" hidden="1">1</definedName>
    <definedName name="solver_nod" localSheetId="1" hidden="1">2147483647</definedName>
    <definedName name="solver_nod" localSheetId="2" hidden="1">2147483647</definedName>
    <definedName name="solver_num" localSheetId="1" hidden="1">2</definedName>
    <definedName name="solver_num" localSheetId="2" hidden="1">2</definedName>
    <definedName name="solver_nwt" localSheetId="1" hidden="1">1</definedName>
    <definedName name="solver_nwt" localSheetId="2" hidden="1">1</definedName>
    <definedName name="solver_opt" localSheetId="1" hidden="1">'Investing Model'!$B$38</definedName>
    <definedName name="solver_opt" localSheetId="2" hidden="1">'Min Investment'!$B$30</definedName>
    <definedName name="solver_pre" localSheetId="1" hidden="1">0.000001</definedName>
    <definedName name="solver_pre" localSheetId="2" hidden="1">0.000001</definedName>
    <definedName name="solver_rbv" localSheetId="1" hidden="1">1</definedName>
    <definedName name="solver_rbv" localSheetId="2" hidden="1">1</definedName>
    <definedName name="solver_rel1" localSheetId="1" hidden="1">1</definedName>
    <definedName name="solver_rel1" localSheetId="2" hidden="1">3</definedName>
    <definedName name="solver_rel2" localSheetId="1" hidden="1">3</definedName>
    <definedName name="solver_rel2" localSheetId="2" hidden="1">3</definedName>
    <definedName name="solver_rhs1" localSheetId="1" hidden="1">'Investing Model'!$B$27:$F$27</definedName>
    <definedName name="solver_rhs1" localSheetId="2" hidden="1">'Min Investment'!$B$19:$F$19</definedName>
    <definedName name="solver_rhs2" localSheetId="1" hidden="1">0</definedName>
    <definedName name="solver_rhs2" localSheetId="2" hidden="1">0</definedName>
    <definedName name="solver_rlx" localSheetId="1" hidden="1">2</definedName>
    <definedName name="solver_rlx" localSheetId="2" hidden="1">2</definedName>
    <definedName name="solver_rsd" localSheetId="1" hidden="1">0</definedName>
    <definedName name="solver_rsd" localSheetId="2" hidden="1">0</definedName>
    <definedName name="solver_scl" localSheetId="1" hidden="1">1</definedName>
    <definedName name="solver_scl" localSheetId="2" hidden="1">1</definedName>
    <definedName name="solver_sho" localSheetId="1" hidden="1">2</definedName>
    <definedName name="solver_sho" localSheetId="2" hidden="1">2</definedName>
    <definedName name="solver_ssz" localSheetId="1" hidden="1">100</definedName>
    <definedName name="solver_ssz" localSheetId="2" hidden="1">100</definedName>
    <definedName name="solver_tim" localSheetId="1" hidden="1">2147483647</definedName>
    <definedName name="solver_tim" localSheetId="2" hidden="1">2147483647</definedName>
    <definedName name="solver_tol" localSheetId="1" hidden="1">0.01</definedName>
    <definedName name="solver_tol" localSheetId="2" hidden="1">0.01</definedName>
    <definedName name="solver_typ" localSheetId="1" hidden="1">1</definedName>
    <definedName name="solver_typ" localSheetId="2" hidden="1">1</definedName>
    <definedName name="solver_val" localSheetId="1" hidden="1">0</definedName>
    <definedName name="solver_val" localSheetId="2" hidden="1">0</definedName>
    <definedName name="solver_ver" localSheetId="1" hidden="1">3</definedName>
    <definedName name="solver_ver" localSheetId="2" hidden="1">3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4" l="1"/>
  <c r="D26" i="4"/>
  <c r="C26" i="4"/>
  <c r="D25" i="4"/>
  <c r="C25" i="4"/>
  <c r="D24" i="4"/>
  <c r="C24" i="4"/>
  <c r="D23" i="4"/>
  <c r="C23" i="4"/>
  <c r="B23" i="4"/>
  <c r="F19" i="4"/>
  <c r="E19" i="4"/>
  <c r="D19" i="4"/>
  <c r="C19" i="4"/>
  <c r="B19" i="4"/>
  <c r="B9" i="4"/>
  <c r="B8" i="4"/>
  <c r="C35" i="3"/>
  <c r="D34" i="3"/>
  <c r="C34" i="3"/>
  <c r="D33" i="3"/>
  <c r="C33" i="3"/>
  <c r="D32" i="3"/>
  <c r="C32" i="3"/>
  <c r="D31" i="3"/>
  <c r="C31" i="3"/>
  <c r="B31" i="3"/>
  <c r="F27" i="3"/>
  <c r="E27" i="3"/>
  <c r="D27" i="3"/>
  <c r="C27" i="3"/>
  <c r="B27" i="3"/>
  <c r="E23" i="4" l="1"/>
  <c r="B24" i="4" s="1"/>
  <c r="E24" i="4" s="1"/>
  <c r="B25" i="4" s="1"/>
  <c r="E25" i="4" s="1"/>
  <c r="B26" i="4" s="1"/>
  <c r="E26" i="4" s="1"/>
  <c r="B27" i="4" s="1"/>
  <c r="B30" i="4" s="1"/>
  <c r="E31" i="3"/>
  <c r="B32" i="3" s="1"/>
  <c r="E32" i="3" s="1"/>
  <c r="B33" i="3" s="1"/>
  <c r="E33" i="3" s="1"/>
  <c r="B34" i="3" s="1"/>
  <c r="E34" i="3" s="1"/>
  <c r="B35" i="3" s="1"/>
  <c r="B38" i="3" s="1"/>
</calcChain>
</file>

<file path=xl/sharedStrings.xml><?xml version="1.0" encoding="utf-8"?>
<sst xmlns="http://schemas.openxmlformats.org/spreadsheetml/2006/main" count="140" uniqueCount="67">
  <si>
    <t>Inputs</t>
  </si>
  <si>
    <t>Initial amount to invest</t>
  </si>
  <si>
    <t>Maximum per investment</t>
  </si>
  <si>
    <t>Interest rate on cash</t>
  </si>
  <si>
    <t>Cash outlays on investments (all incurred at beginning of year)</t>
  </si>
  <si>
    <t>Investment</t>
  </si>
  <si>
    <t>Year</t>
  </si>
  <si>
    <t>A</t>
  </si>
  <si>
    <t>B</t>
  </si>
  <si>
    <t>C</t>
  </si>
  <si>
    <t>D</t>
  </si>
  <si>
    <t>E</t>
  </si>
  <si>
    <t>Cash returns from investments (all incurred at beginning of year)</t>
  </si>
  <si>
    <t>Investment decisions</t>
  </si>
  <si>
    <t>Dollars invested</t>
  </si>
  <si>
    <t>Constraints on cash balance</t>
  </si>
  <si>
    <t>Beginning cash</t>
  </si>
  <si>
    <t>Returns from investments</t>
  </si>
  <si>
    <t>Cash invested</t>
  </si>
  <si>
    <t>Cash after investing</t>
  </si>
  <si>
    <t>Final cash</t>
  </si>
  <si>
    <t>Example 4.6 Finding an optimal investment strategy at Barney-Jones -- Investments with irregular timing of returns, page 177</t>
  </si>
  <si>
    <t>Barney-Jones Investment Model</t>
  </si>
  <si>
    <t>INPUTS</t>
  </si>
  <si>
    <t>Interest rate on cash (money market)</t>
  </si>
  <si>
    <t>CASH OUTLAYS PER DOLLAR INVESTED (at beginning of year)</t>
  </si>
  <si>
    <t>Inv A</t>
  </si>
  <si>
    <t>Inv B</t>
  </si>
  <si>
    <t>Inv C</t>
  </si>
  <si>
    <t>Inv D</t>
  </si>
  <si>
    <t>Inv E</t>
  </si>
  <si>
    <t>CASH RETURNS PER DOLLAR INVESTED (at beginning of year)</t>
  </si>
  <si>
    <t>INVESTMENT DECISIONS (Decision Variables)</t>
  </si>
  <si>
    <t>Dollars Invested</t>
  </si>
  <si>
    <t>Amount ($)</t>
  </si>
  <si>
    <t>&lt;=</t>
  </si>
  <si>
    <t>CASH FLOW SCHEDULE</t>
  </si>
  <si>
    <t>Beginning Cash</t>
  </si>
  <si>
    <t>Returns Received</t>
  </si>
  <si>
    <t>Cash Invested</t>
  </si>
  <si>
    <t>Cash After Investing</t>
  </si>
  <si>
    <t>Min</t>
  </si>
  <si>
    <t>&gt;=</t>
  </si>
  <si>
    <t>OBJECTIVE</t>
  </si>
  <si>
    <t>Maximize Final Cash (Year 5)</t>
  </si>
  <si>
    <t>SOLVER CONFIGURATION</t>
  </si>
  <si>
    <t>Set Objective</t>
  </si>
  <si>
    <t>B38 (Maximize Final Cash)</t>
  </si>
  <si>
    <t>Changing Variable Cells</t>
  </si>
  <si>
    <t>B25:F25 (Dollars invested in each investment)</t>
  </si>
  <si>
    <t>Constraint 1</t>
  </si>
  <si>
    <t>B25:F25 &lt;= B27:F27 (max per investment)</t>
  </si>
  <si>
    <t>Constraint 2</t>
  </si>
  <si>
    <t>E31:E34 &gt;= 0 (cash after investing must be non-negative)</t>
  </si>
  <si>
    <t>Method</t>
  </si>
  <si>
    <t>Simplex LP  |  Non-negative</t>
  </si>
  <si>
    <t>MODIFICATION</t>
  </si>
  <si>
    <t>Replace 'Maximum per investment' with 'Minimum investment' — each investment must receive at least the minimum amount shown below.</t>
  </si>
  <si>
    <t>MINIMUM INVESTMENT PER INVESTMENT (inputs — can vary by investment)</t>
  </si>
  <si>
    <t>Minimum Investment</t>
  </si>
  <si>
    <t>B30  (Maximize Final Cash)</t>
  </si>
  <si>
    <t>B17:F17  (Dollars invested)</t>
  </si>
  <si>
    <t>Constraint 1  — KEY CHANGE</t>
  </si>
  <si>
    <t>B17:F17  &gt;=  B19:F19  (dollars invested ≥ minimum investment)</t>
  </si>
  <si>
    <t>E23:E26  &gt;=  0  (cash after investing must be non-negative)</t>
  </si>
  <si>
    <t xml:space="preserve"> use $50,000 as the minimum for each investment.</t>
  </si>
  <si>
    <t xml:space="preserve"> — Modified Barney-Jones: Minimum 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</si>
</sst>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&quot;$&quot;#,##0.00;\-&quot;$&quot;#,##0.00"/>
    <numFmt numFmtId="166" formatCode="&quot;$&quot;#,##0;\-&quot;$&quot;#,##0"/>
    <numFmt numFmtId="167" formatCode="&quot;$&quot;0.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indexed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</fills>
  <borders count="4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medium">
        <color rgb="FFF4B942"/>
      </left>
      <right/>
      <top style="medium">
        <color rgb="FFF4B942"/>
      </top>
      <bottom style="medium">
        <color rgb="FFF4B942"/>
      </bottom>
      <diagonal/>
    </border>
    <border>
      <left/>
      <right style="medium">
        <color rgb="FFF4B942"/>
      </right>
      <top style="medium">
        <color rgb="FFF4B942"/>
      </top>
      <bottom style="medium">
        <color rgb="FFF4B942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166" fontId="4" fillId="0" borderId="0" xfId="1" applyNumberFormat="1" applyFont="1"/>
    <xf numFmtId="0" fontId="4" fillId="0" borderId="0" xfId="1" applyFont="1"/>
    <xf numFmtId="0" fontId="3" fillId="0" borderId="0" xfId="1" applyFont="1"/>
    <xf numFmtId="0" fontId="5" fillId="0" borderId="0" xfId="2" applyFont="1" applyFill="1" applyAlignment="1" applyProtection="1"/>
    <xf numFmtId="164" fontId="4" fillId="0" borderId="0" xfId="1" applyNumberFormat="1" applyFont="1"/>
    <xf numFmtId="9" fontId="4" fillId="0" borderId="0" xfId="1" applyNumberFormat="1" applyFont="1"/>
    <xf numFmtId="0" fontId="4" fillId="0" borderId="0" xfId="1" applyFont="1" applyAlignment="1">
      <alignment horizontal="center"/>
    </xf>
    <xf numFmtId="0" fontId="4" fillId="0" borderId="0" xfId="1" applyFont="1" applyAlignment="1">
      <alignment horizontal="right"/>
    </xf>
    <xf numFmtId="165" fontId="4" fillId="0" borderId="0" xfId="1" applyNumberFormat="1" applyFont="1"/>
    <xf numFmtId="0" fontId="4" fillId="0" borderId="0" xfId="1" applyFont="1" applyAlignment="1">
      <alignment horizontal="right" wrapText="1"/>
    </xf>
    <xf numFmtId="166" fontId="3" fillId="0" borderId="0" xfId="1" applyNumberFormat="1" applyFont="1"/>
    <xf numFmtId="164" fontId="9" fillId="0" borderId="0" xfId="0" applyNumberFormat="1" applyFont="1"/>
    <xf numFmtId="9" fontId="9" fillId="0" borderId="0" xfId="0" applyNumberFormat="1" applyFont="1"/>
    <xf numFmtId="0" fontId="0" fillId="5" borderId="0" xfId="0" applyFill="1"/>
    <xf numFmtId="0" fontId="0" fillId="6" borderId="0" xfId="0" applyFill="1"/>
    <xf numFmtId="0" fontId="7" fillId="2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7" fontId="0" fillId="5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7" fontId="0" fillId="6" borderId="1" xfId="0" applyNumberFormat="1" applyFill="1" applyBorder="1" applyAlignment="1">
      <alignment horizontal="center"/>
    </xf>
    <xf numFmtId="0" fontId="8" fillId="4" borderId="1" xfId="0" applyFont="1" applyFill="1" applyBorder="1"/>
    <xf numFmtId="0" fontId="0" fillId="7" borderId="1" xfId="0" applyFill="1" applyBorder="1"/>
    <xf numFmtId="164" fontId="0" fillId="7" borderId="1" xfId="0" applyNumberFormat="1" applyFill="1" applyBorder="1" applyAlignment="1">
      <alignment horizontal="center"/>
    </xf>
    <xf numFmtId="0" fontId="0" fillId="6" borderId="1" xfId="0" applyFill="1" applyBorder="1"/>
    <xf numFmtId="164" fontId="0" fillId="6" borderId="1" xfId="0" applyNumberFormat="1" applyFill="1" applyBorder="1" applyAlignment="1">
      <alignment horizontal="center"/>
    </xf>
    <xf numFmtId="0" fontId="0" fillId="4" borderId="1" xfId="0" applyFill="1" applyBorder="1"/>
    <xf numFmtId="164" fontId="0" fillId="5" borderId="1" xfId="0" applyNumberFormat="1" applyFill="1" applyBorder="1" applyAlignment="1">
      <alignment horizontal="center"/>
    </xf>
    <xf numFmtId="0" fontId="0" fillId="0" borderId="1" xfId="0" applyBorder="1"/>
    <xf numFmtId="0" fontId="6" fillId="7" borderId="2" xfId="0" applyFont="1" applyFill="1" applyBorder="1"/>
    <xf numFmtId="164" fontId="10" fillId="7" borderId="3" xfId="0" applyNumberFormat="1" applyFont="1" applyFill="1" applyBorder="1" applyAlignment="1">
      <alignment horizontal="center"/>
    </xf>
    <xf numFmtId="164" fontId="11" fillId="0" borderId="0" xfId="0" applyNumberFormat="1" applyFont="1"/>
    <xf numFmtId="9" fontId="11" fillId="0" borderId="0" xfId="0" applyNumberFormat="1" applyFont="1"/>
    <xf numFmtId="0" fontId="0" fillId="5" borderId="1" xfId="0" applyFill="1" applyBorder="1"/>
    <xf numFmtId="164" fontId="9" fillId="5" borderId="1" xfId="0" applyNumberFormat="1" applyFont="1" applyFill="1" applyBorder="1" applyAlignment="1">
      <alignment horizontal="center"/>
    </xf>
    <xf numFmtId="0" fontId="6" fillId="5" borderId="1" xfId="0" applyFont="1" applyFill="1" applyBorder="1"/>
    <xf numFmtId="0" fontId="12" fillId="5" borderId="1" xfId="0" applyFont="1" applyFill="1" applyBorder="1"/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06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7119F6F-24F5-4762-9875-105AE9102B88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beac6d9f-cda8-4910-8cae-28aeff78466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H53"/>
  <sheetViews>
    <sheetView topLeftCell="A15" workbookViewId="0">
      <selection activeCell="C23" sqref="C23"/>
    </sheetView>
  </sheetViews>
  <sheetFormatPr defaultRowHeight="14.4" x14ac:dyDescent="0.3"/>
  <cols>
    <col min="1" max="1" width="25" style="2" customWidth="1"/>
    <col min="2" max="6" width="15.6640625" style="2" customWidth="1"/>
    <col min="7" max="7" width="14.88671875" style="2" customWidth="1"/>
    <col min="8" max="8" width="15" style="2" customWidth="1"/>
    <col min="9" max="9" width="13.88671875" style="2" customWidth="1"/>
    <col min="10" max="256" width="9.109375" style="2"/>
    <col min="257" max="257" width="22.44140625" style="2" customWidth="1"/>
    <col min="258" max="262" width="15.6640625" style="2" customWidth="1"/>
    <col min="263" max="263" width="14.88671875" style="2" customWidth="1"/>
    <col min="264" max="264" width="15" style="2" customWidth="1"/>
    <col min="265" max="265" width="13.88671875" style="2" customWidth="1"/>
    <col min="266" max="512" width="9.109375" style="2"/>
    <col min="513" max="513" width="22.44140625" style="2" customWidth="1"/>
    <col min="514" max="518" width="15.6640625" style="2" customWidth="1"/>
    <col min="519" max="519" width="14.88671875" style="2" customWidth="1"/>
    <col min="520" max="520" width="15" style="2" customWidth="1"/>
    <col min="521" max="521" width="13.88671875" style="2" customWidth="1"/>
    <col min="522" max="768" width="9.109375" style="2"/>
    <col min="769" max="769" width="22.44140625" style="2" customWidth="1"/>
    <col min="770" max="774" width="15.6640625" style="2" customWidth="1"/>
    <col min="775" max="775" width="14.88671875" style="2" customWidth="1"/>
    <col min="776" max="776" width="15" style="2" customWidth="1"/>
    <col min="777" max="777" width="13.88671875" style="2" customWidth="1"/>
    <col min="778" max="1024" width="9.109375" style="2"/>
    <col min="1025" max="1025" width="22.44140625" style="2" customWidth="1"/>
    <col min="1026" max="1030" width="15.6640625" style="2" customWidth="1"/>
    <col min="1031" max="1031" width="14.88671875" style="2" customWidth="1"/>
    <col min="1032" max="1032" width="15" style="2" customWidth="1"/>
    <col min="1033" max="1033" width="13.88671875" style="2" customWidth="1"/>
    <col min="1034" max="1280" width="9.109375" style="2"/>
    <col min="1281" max="1281" width="22.44140625" style="2" customWidth="1"/>
    <col min="1282" max="1286" width="15.6640625" style="2" customWidth="1"/>
    <col min="1287" max="1287" width="14.88671875" style="2" customWidth="1"/>
    <col min="1288" max="1288" width="15" style="2" customWidth="1"/>
    <col min="1289" max="1289" width="13.88671875" style="2" customWidth="1"/>
    <col min="1290" max="1536" width="9.109375" style="2"/>
    <col min="1537" max="1537" width="22.44140625" style="2" customWidth="1"/>
    <col min="1538" max="1542" width="15.6640625" style="2" customWidth="1"/>
    <col min="1543" max="1543" width="14.88671875" style="2" customWidth="1"/>
    <col min="1544" max="1544" width="15" style="2" customWidth="1"/>
    <col min="1545" max="1545" width="13.88671875" style="2" customWidth="1"/>
    <col min="1546" max="1792" width="9.109375" style="2"/>
    <col min="1793" max="1793" width="22.44140625" style="2" customWidth="1"/>
    <col min="1794" max="1798" width="15.6640625" style="2" customWidth="1"/>
    <col min="1799" max="1799" width="14.88671875" style="2" customWidth="1"/>
    <col min="1800" max="1800" width="15" style="2" customWidth="1"/>
    <col min="1801" max="1801" width="13.88671875" style="2" customWidth="1"/>
    <col min="1802" max="2048" width="9.109375" style="2"/>
    <col min="2049" max="2049" width="22.44140625" style="2" customWidth="1"/>
    <col min="2050" max="2054" width="15.6640625" style="2" customWidth="1"/>
    <col min="2055" max="2055" width="14.88671875" style="2" customWidth="1"/>
    <col min="2056" max="2056" width="15" style="2" customWidth="1"/>
    <col min="2057" max="2057" width="13.88671875" style="2" customWidth="1"/>
    <col min="2058" max="2304" width="9.109375" style="2"/>
    <col min="2305" max="2305" width="22.44140625" style="2" customWidth="1"/>
    <col min="2306" max="2310" width="15.6640625" style="2" customWidth="1"/>
    <col min="2311" max="2311" width="14.88671875" style="2" customWidth="1"/>
    <col min="2312" max="2312" width="15" style="2" customWidth="1"/>
    <col min="2313" max="2313" width="13.88671875" style="2" customWidth="1"/>
    <col min="2314" max="2560" width="9.109375" style="2"/>
    <col min="2561" max="2561" width="22.44140625" style="2" customWidth="1"/>
    <col min="2562" max="2566" width="15.6640625" style="2" customWidth="1"/>
    <col min="2567" max="2567" width="14.88671875" style="2" customWidth="1"/>
    <col min="2568" max="2568" width="15" style="2" customWidth="1"/>
    <col min="2569" max="2569" width="13.88671875" style="2" customWidth="1"/>
    <col min="2570" max="2816" width="9.109375" style="2"/>
    <col min="2817" max="2817" width="22.44140625" style="2" customWidth="1"/>
    <col min="2818" max="2822" width="15.6640625" style="2" customWidth="1"/>
    <col min="2823" max="2823" width="14.88671875" style="2" customWidth="1"/>
    <col min="2824" max="2824" width="15" style="2" customWidth="1"/>
    <col min="2825" max="2825" width="13.88671875" style="2" customWidth="1"/>
    <col min="2826" max="3072" width="9.109375" style="2"/>
    <col min="3073" max="3073" width="22.44140625" style="2" customWidth="1"/>
    <col min="3074" max="3078" width="15.6640625" style="2" customWidth="1"/>
    <col min="3079" max="3079" width="14.88671875" style="2" customWidth="1"/>
    <col min="3080" max="3080" width="15" style="2" customWidth="1"/>
    <col min="3081" max="3081" width="13.88671875" style="2" customWidth="1"/>
    <col min="3082" max="3328" width="9.109375" style="2"/>
    <col min="3329" max="3329" width="22.44140625" style="2" customWidth="1"/>
    <col min="3330" max="3334" width="15.6640625" style="2" customWidth="1"/>
    <col min="3335" max="3335" width="14.88671875" style="2" customWidth="1"/>
    <col min="3336" max="3336" width="15" style="2" customWidth="1"/>
    <col min="3337" max="3337" width="13.88671875" style="2" customWidth="1"/>
    <col min="3338" max="3584" width="9.109375" style="2"/>
    <col min="3585" max="3585" width="22.44140625" style="2" customWidth="1"/>
    <col min="3586" max="3590" width="15.6640625" style="2" customWidth="1"/>
    <col min="3591" max="3591" width="14.88671875" style="2" customWidth="1"/>
    <col min="3592" max="3592" width="15" style="2" customWidth="1"/>
    <col min="3593" max="3593" width="13.88671875" style="2" customWidth="1"/>
    <col min="3594" max="3840" width="9.109375" style="2"/>
    <col min="3841" max="3841" width="22.44140625" style="2" customWidth="1"/>
    <col min="3842" max="3846" width="15.6640625" style="2" customWidth="1"/>
    <col min="3847" max="3847" width="14.88671875" style="2" customWidth="1"/>
    <col min="3848" max="3848" width="15" style="2" customWidth="1"/>
    <col min="3849" max="3849" width="13.88671875" style="2" customWidth="1"/>
    <col min="3850" max="4096" width="9.109375" style="2"/>
    <col min="4097" max="4097" width="22.44140625" style="2" customWidth="1"/>
    <col min="4098" max="4102" width="15.6640625" style="2" customWidth="1"/>
    <col min="4103" max="4103" width="14.88671875" style="2" customWidth="1"/>
    <col min="4104" max="4104" width="15" style="2" customWidth="1"/>
    <col min="4105" max="4105" width="13.88671875" style="2" customWidth="1"/>
    <col min="4106" max="4352" width="9.109375" style="2"/>
    <col min="4353" max="4353" width="22.44140625" style="2" customWidth="1"/>
    <col min="4354" max="4358" width="15.6640625" style="2" customWidth="1"/>
    <col min="4359" max="4359" width="14.88671875" style="2" customWidth="1"/>
    <col min="4360" max="4360" width="15" style="2" customWidth="1"/>
    <col min="4361" max="4361" width="13.88671875" style="2" customWidth="1"/>
    <col min="4362" max="4608" width="9.109375" style="2"/>
    <col min="4609" max="4609" width="22.44140625" style="2" customWidth="1"/>
    <col min="4610" max="4614" width="15.6640625" style="2" customWidth="1"/>
    <col min="4615" max="4615" width="14.88671875" style="2" customWidth="1"/>
    <col min="4616" max="4616" width="15" style="2" customWidth="1"/>
    <col min="4617" max="4617" width="13.88671875" style="2" customWidth="1"/>
    <col min="4618" max="4864" width="9.109375" style="2"/>
    <col min="4865" max="4865" width="22.44140625" style="2" customWidth="1"/>
    <col min="4866" max="4870" width="15.6640625" style="2" customWidth="1"/>
    <col min="4871" max="4871" width="14.88671875" style="2" customWidth="1"/>
    <col min="4872" max="4872" width="15" style="2" customWidth="1"/>
    <col min="4873" max="4873" width="13.88671875" style="2" customWidth="1"/>
    <col min="4874" max="5120" width="9.109375" style="2"/>
    <col min="5121" max="5121" width="22.44140625" style="2" customWidth="1"/>
    <col min="5122" max="5126" width="15.6640625" style="2" customWidth="1"/>
    <col min="5127" max="5127" width="14.88671875" style="2" customWidth="1"/>
    <col min="5128" max="5128" width="15" style="2" customWidth="1"/>
    <col min="5129" max="5129" width="13.88671875" style="2" customWidth="1"/>
    <col min="5130" max="5376" width="9.109375" style="2"/>
    <col min="5377" max="5377" width="22.44140625" style="2" customWidth="1"/>
    <col min="5378" max="5382" width="15.6640625" style="2" customWidth="1"/>
    <col min="5383" max="5383" width="14.88671875" style="2" customWidth="1"/>
    <col min="5384" max="5384" width="15" style="2" customWidth="1"/>
    <col min="5385" max="5385" width="13.88671875" style="2" customWidth="1"/>
    <col min="5386" max="5632" width="9.109375" style="2"/>
    <col min="5633" max="5633" width="22.44140625" style="2" customWidth="1"/>
    <col min="5634" max="5638" width="15.6640625" style="2" customWidth="1"/>
    <col min="5639" max="5639" width="14.88671875" style="2" customWidth="1"/>
    <col min="5640" max="5640" width="15" style="2" customWidth="1"/>
    <col min="5641" max="5641" width="13.88671875" style="2" customWidth="1"/>
    <col min="5642" max="5888" width="9.109375" style="2"/>
    <col min="5889" max="5889" width="22.44140625" style="2" customWidth="1"/>
    <col min="5890" max="5894" width="15.6640625" style="2" customWidth="1"/>
    <col min="5895" max="5895" width="14.88671875" style="2" customWidth="1"/>
    <col min="5896" max="5896" width="15" style="2" customWidth="1"/>
    <col min="5897" max="5897" width="13.88671875" style="2" customWidth="1"/>
    <col min="5898" max="6144" width="9.109375" style="2"/>
    <col min="6145" max="6145" width="22.44140625" style="2" customWidth="1"/>
    <col min="6146" max="6150" width="15.6640625" style="2" customWidth="1"/>
    <col min="6151" max="6151" width="14.88671875" style="2" customWidth="1"/>
    <col min="6152" max="6152" width="15" style="2" customWidth="1"/>
    <col min="6153" max="6153" width="13.88671875" style="2" customWidth="1"/>
    <col min="6154" max="6400" width="9.109375" style="2"/>
    <col min="6401" max="6401" width="22.44140625" style="2" customWidth="1"/>
    <col min="6402" max="6406" width="15.6640625" style="2" customWidth="1"/>
    <col min="6407" max="6407" width="14.88671875" style="2" customWidth="1"/>
    <col min="6408" max="6408" width="15" style="2" customWidth="1"/>
    <col min="6409" max="6409" width="13.88671875" style="2" customWidth="1"/>
    <col min="6410" max="6656" width="9.109375" style="2"/>
    <col min="6657" max="6657" width="22.44140625" style="2" customWidth="1"/>
    <col min="6658" max="6662" width="15.6640625" style="2" customWidth="1"/>
    <col min="6663" max="6663" width="14.88671875" style="2" customWidth="1"/>
    <col min="6664" max="6664" width="15" style="2" customWidth="1"/>
    <col min="6665" max="6665" width="13.88671875" style="2" customWidth="1"/>
    <col min="6666" max="6912" width="9.109375" style="2"/>
    <col min="6913" max="6913" width="22.44140625" style="2" customWidth="1"/>
    <col min="6914" max="6918" width="15.6640625" style="2" customWidth="1"/>
    <col min="6919" max="6919" width="14.88671875" style="2" customWidth="1"/>
    <col min="6920" max="6920" width="15" style="2" customWidth="1"/>
    <col min="6921" max="6921" width="13.88671875" style="2" customWidth="1"/>
    <col min="6922" max="7168" width="9.109375" style="2"/>
    <col min="7169" max="7169" width="22.44140625" style="2" customWidth="1"/>
    <col min="7170" max="7174" width="15.6640625" style="2" customWidth="1"/>
    <col min="7175" max="7175" width="14.88671875" style="2" customWidth="1"/>
    <col min="7176" max="7176" width="15" style="2" customWidth="1"/>
    <col min="7177" max="7177" width="13.88671875" style="2" customWidth="1"/>
    <col min="7178" max="7424" width="9.109375" style="2"/>
    <col min="7425" max="7425" width="22.44140625" style="2" customWidth="1"/>
    <col min="7426" max="7430" width="15.6640625" style="2" customWidth="1"/>
    <col min="7431" max="7431" width="14.88671875" style="2" customWidth="1"/>
    <col min="7432" max="7432" width="15" style="2" customWidth="1"/>
    <col min="7433" max="7433" width="13.88671875" style="2" customWidth="1"/>
    <col min="7434" max="7680" width="9.109375" style="2"/>
    <col min="7681" max="7681" width="22.44140625" style="2" customWidth="1"/>
    <col min="7682" max="7686" width="15.6640625" style="2" customWidth="1"/>
    <col min="7687" max="7687" width="14.88671875" style="2" customWidth="1"/>
    <col min="7688" max="7688" width="15" style="2" customWidth="1"/>
    <col min="7689" max="7689" width="13.88671875" style="2" customWidth="1"/>
    <col min="7690" max="7936" width="9.109375" style="2"/>
    <col min="7937" max="7937" width="22.44140625" style="2" customWidth="1"/>
    <col min="7938" max="7942" width="15.6640625" style="2" customWidth="1"/>
    <col min="7943" max="7943" width="14.88671875" style="2" customWidth="1"/>
    <col min="7944" max="7944" width="15" style="2" customWidth="1"/>
    <col min="7945" max="7945" width="13.88671875" style="2" customWidth="1"/>
    <col min="7946" max="8192" width="9.109375" style="2"/>
    <col min="8193" max="8193" width="22.44140625" style="2" customWidth="1"/>
    <col min="8194" max="8198" width="15.6640625" style="2" customWidth="1"/>
    <col min="8199" max="8199" width="14.88671875" style="2" customWidth="1"/>
    <col min="8200" max="8200" width="15" style="2" customWidth="1"/>
    <col min="8201" max="8201" width="13.88671875" style="2" customWidth="1"/>
    <col min="8202" max="8448" width="9.109375" style="2"/>
    <col min="8449" max="8449" width="22.44140625" style="2" customWidth="1"/>
    <col min="8450" max="8454" width="15.6640625" style="2" customWidth="1"/>
    <col min="8455" max="8455" width="14.88671875" style="2" customWidth="1"/>
    <col min="8456" max="8456" width="15" style="2" customWidth="1"/>
    <col min="8457" max="8457" width="13.88671875" style="2" customWidth="1"/>
    <col min="8458" max="8704" width="9.109375" style="2"/>
    <col min="8705" max="8705" width="22.44140625" style="2" customWidth="1"/>
    <col min="8706" max="8710" width="15.6640625" style="2" customWidth="1"/>
    <col min="8711" max="8711" width="14.88671875" style="2" customWidth="1"/>
    <col min="8712" max="8712" width="15" style="2" customWidth="1"/>
    <col min="8713" max="8713" width="13.88671875" style="2" customWidth="1"/>
    <col min="8714" max="8960" width="9.109375" style="2"/>
    <col min="8961" max="8961" width="22.44140625" style="2" customWidth="1"/>
    <col min="8962" max="8966" width="15.6640625" style="2" customWidth="1"/>
    <col min="8967" max="8967" width="14.88671875" style="2" customWidth="1"/>
    <col min="8968" max="8968" width="15" style="2" customWidth="1"/>
    <col min="8969" max="8969" width="13.88671875" style="2" customWidth="1"/>
    <col min="8970" max="9216" width="9.109375" style="2"/>
    <col min="9217" max="9217" width="22.44140625" style="2" customWidth="1"/>
    <col min="9218" max="9222" width="15.6640625" style="2" customWidth="1"/>
    <col min="9223" max="9223" width="14.88671875" style="2" customWidth="1"/>
    <col min="9224" max="9224" width="15" style="2" customWidth="1"/>
    <col min="9225" max="9225" width="13.88671875" style="2" customWidth="1"/>
    <col min="9226" max="9472" width="9.109375" style="2"/>
    <col min="9473" max="9473" width="22.44140625" style="2" customWidth="1"/>
    <col min="9474" max="9478" width="15.6640625" style="2" customWidth="1"/>
    <col min="9479" max="9479" width="14.88671875" style="2" customWidth="1"/>
    <col min="9480" max="9480" width="15" style="2" customWidth="1"/>
    <col min="9481" max="9481" width="13.88671875" style="2" customWidth="1"/>
    <col min="9482" max="9728" width="9.109375" style="2"/>
    <col min="9729" max="9729" width="22.44140625" style="2" customWidth="1"/>
    <col min="9730" max="9734" width="15.6640625" style="2" customWidth="1"/>
    <col min="9735" max="9735" width="14.88671875" style="2" customWidth="1"/>
    <col min="9736" max="9736" width="15" style="2" customWidth="1"/>
    <col min="9737" max="9737" width="13.88671875" style="2" customWidth="1"/>
    <col min="9738" max="9984" width="9.109375" style="2"/>
    <col min="9985" max="9985" width="22.44140625" style="2" customWidth="1"/>
    <col min="9986" max="9990" width="15.6640625" style="2" customWidth="1"/>
    <col min="9991" max="9991" width="14.88671875" style="2" customWidth="1"/>
    <col min="9992" max="9992" width="15" style="2" customWidth="1"/>
    <col min="9993" max="9993" width="13.88671875" style="2" customWidth="1"/>
    <col min="9994" max="10240" width="9.109375" style="2"/>
    <col min="10241" max="10241" width="22.44140625" style="2" customWidth="1"/>
    <col min="10242" max="10246" width="15.6640625" style="2" customWidth="1"/>
    <col min="10247" max="10247" width="14.88671875" style="2" customWidth="1"/>
    <col min="10248" max="10248" width="15" style="2" customWidth="1"/>
    <col min="10249" max="10249" width="13.88671875" style="2" customWidth="1"/>
    <col min="10250" max="10496" width="9.109375" style="2"/>
    <col min="10497" max="10497" width="22.44140625" style="2" customWidth="1"/>
    <col min="10498" max="10502" width="15.6640625" style="2" customWidth="1"/>
    <col min="10503" max="10503" width="14.88671875" style="2" customWidth="1"/>
    <col min="10504" max="10504" width="15" style="2" customWidth="1"/>
    <col min="10505" max="10505" width="13.88671875" style="2" customWidth="1"/>
    <col min="10506" max="10752" width="9.109375" style="2"/>
    <col min="10753" max="10753" width="22.44140625" style="2" customWidth="1"/>
    <col min="10754" max="10758" width="15.6640625" style="2" customWidth="1"/>
    <col min="10759" max="10759" width="14.88671875" style="2" customWidth="1"/>
    <col min="10760" max="10760" width="15" style="2" customWidth="1"/>
    <col min="10761" max="10761" width="13.88671875" style="2" customWidth="1"/>
    <col min="10762" max="11008" width="9.109375" style="2"/>
    <col min="11009" max="11009" width="22.44140625" style="2" customWidth="1"/>
    <col min="11010" max="11014" width="15.6640625" style="2" customWidth="1"/>
    <col min="11015" max="11015" width="14.88671875" style="2" customWidth="1"/>
    <col min="11016" max="11016" width="15" style="2" customWidth="1"/>
    <col min="11017" max="11017" width="13.88671875" style="2" customWidth="1"/>
    <col min="11018" max="11264" width="9.109375" style="2"/>
    <col min="11265" max="11265" width="22.44140625" style="2" customWidth="1"/>
    <col min="11266" max="11270" width="15.6640625" style="2" customWidth="1"/>
    <col min="11271" max="11271" width="14.88671875" style="2" customWidth="1"/>
    <col min="11272" max="11272" width="15" style="2" customWidth="1"/>
    <col min="11273" max="11273" width="13.88671875" style="2" customWidth="1"/>
    <col min="11274" max="11520" width="9.109375" style="2"/>
    <col min="11521" max="11521" width="22.44140625" style="2" customWidth="1"/>
    <col min="11522" max="11526" width="15.6640625" style="2" customWidth="1"/>
    <col min="11527" max="11527" width="14.88671875" style="2" customWidth="1"/>
    <col min="11528" max="11528" width="15" style="2" customWidth="1"/>
    <col min="11529" max="11529" width="13.88671875" style="2" customWidth="1"/>
    <col min="11530" max="11776" width="9.109375" style="2"/>
    <col min="11777" max="11777" width="22.44140625" style="2" customWidth="1"/>
    <col min="11778" max="11782" width="15.6640625" style="2" customWidth="1"/>
    <col min="11783" max="11783" width="14.88671875" style="2" customWidth="1"/>
    <col min="11784" max="11784" width="15" style="2" customWidth="1"/>
    <col min="11785" max="11785" width="13.88671875" style="2" customWidth="1"/>
    <col min="11786" max="12032" width="9.109375" style="2"/>
    <col min="12033" max="12033" width="22.44140625" style="2" customWidth="1"/>
    <col min="12034" max="12038" width="15.6640625" style="2" customWidth="1"/>
    <col min="12039" max="12039" width="14.88671875" style="2" customWidth="1"/>
    <col min="12040" max="12040" width="15" style="2" customWidth="1"/>
    <col min="12041" max="12041" width="13.88671875" style="2" customWidth="1"/>
    <col min="12042" max="12288" width="9.109375" style="2"/>
    <col min="12289" max="12289" width="22.44140625" style="2" customWidth="1"/>
    <col min="12290" max="12294" width="15.6640625" style="2" customWidth="1"/>
    <col min="12295" max="12295" width="14.88671875" style="2" customWidth="1"/>
    <col min="12296" max="12296" width="15" style="2" customWidth="1"/>
    <col min="12297" max="12297" width="13.88671875" style="2" customWidth="1"/>
    <col min="12298" max="12544" width="9.109375" style="2"/>
    <col min="12545" max="12545" width="22.44140625" style="2" customWidth="1"/>
    <col min="12546" max="12550" width="15.6640625" style="2" customWidth="1"/>
    <col min="12551" max="12551" width="14.88671875" style="2" customWidth="1"/>
    <col min="12552" max="12552" width="15" style="2" customWidth="1"/>
    <col min="12553" max="12553" width="13.88671875" style="2" customWidth="1"/>
    <col min="12554" max="12800" width="9.109375" style="2"/>
    <col min="12801" max="12801" width="22.44140625" style="2" customWidth="1"/>
    <col min="12802" max="12806" width="15.6640625" style="2" customWidth="1"/>
    <col min="12807" max="12807" width="14.88671875" style="2" customWidth="1"/>
    <col min="12808" max="12808" width="15" style="2" customWidth="1"/>
    <col min="12809" max="12809" width="13.88671875" style="2" customWidth="1"/>
    <col min="12810" max="13056" width="9.109375" style="2"/>
    <col min="13057" max="13057" width="22.44140625" style="2" customWidth="1"/>
    <col min="13058" max="13062" width="15.6640625" style="2" customWidth="1"/>
    <col min="13063" max="13063" width="14.88671875" style="2" customWidth="1"/>
    <col min="13064" max="13064" width="15" style="2" customWidth="1"/>
    <col min="13065" max="13065" width="13.88671875" style="2" customWidth="1"/>
    <col min="13066" max="13312" width="9.109375" style="2"/>
    <col min="13313" max="13313" width="22.44140625" style="2" customWidth="1"/>
    <col min="13314" max="13318" width="15.6640625" style="2" customWidth="1"/>
    <col min="13319" max="13319" width="14.88671875" style="2" customWidth="1"/>
    <col min="13320" max="13320" width="15" style="2" customWidth="1"/>
    <col min="13321" max="13321" width="13.88671875" style="2" customWidth="1"/>
    <col min="13322" max="13568" width="9.109375" style="2"/>
    <col min="13569" max="13569" width="22.44140625" style="2" customWidth="1"/>
    <col min="13570" max="13574" width="15.6640625" style="2" customWidth="1"/>
    <col min="13575" max="13575" width="14.88671875" style="2" customWidth="1"/>
    <col min="13576" max="13576" width="15" style="2" customWidth="1"/>
    <col min="13577" max="13577" width="13.88671875" style="2" customWidth="1"/>
    <col min="13578" max="13824" width="9.109375" style="2"/>
    <col min="13825" max="13825" width="22.44140625" style="2" customWidth="1"/>
    <col min="13826" max="13830" width="15.6640625" style="2" customWidth="1"/>
    <col min="13831" max="13831" width="14.88671875" style="2" customWidth="1"/>
    <col min="13832" max="13832" width="15" style="2" customWidth="1"/>
    <col min="13833" max="13833" width="13.88671875" style="2" customWidth="1"/>
    <col min="13834" max="14080" width="9.109375" style="2"/>
    <col min="14081" max="14081" width="22.44140625" style="2" customWidth="1"/>
    <col min="14082" max="14086" width="15.6640625" style="2" customWidth="1"/>
    <col min="14087" max="14087" width="14.88671875" style="2" customWidth="1"/>
    <col min="14088" max="14088" width="15" style="2" customWidth="1"/>
    <col min="14089" max="14089" width="13.88671875" style="2" customWidth="1"/>
    <col min="14090" max="14336" width="9.109375" style="2"/>
    <col min="14337" max="14337" width="22.44140625" style="2" customWidth="1"/>
    <col min="14338" max="14342" width="15.6640625" style="2" customWidth="1"/>
    <col min="14343" max="14343" width="14.88671875" style="2" customWidth="1"/>
    <col min="14344" max="14344" width="15" style="2" customWidth="1"/>
    <col min="14345" max="14345" width="13.88671875" style="2" customWidth="1"/>
    <col min="14346" max="14592" width="9.109375" style="2"/>
    <col min="14593" max="14593" width="22.44140625" style="2" customWidth="1"/>
    <col min="14594" max="14598" width="15.6640625" style="2" customWidth="1"/>
    <col min="14599" max="14599" width="14.88671875" style="2" customWidth="1"/>
    <col min="14600" max="14600" width="15" style="2" customWidth="1"/>
    <col min="14601" max="14601" width="13.88671875" style="2" customWidth="1"/>
    <col min="14602" max="14848" width="9.109375" style="2"/>
    <col min="14849" max="14849" width="22.44140625" style="2" customWidth="1"/>
    <col min="14850" max="14854" width="15.6640625" style="2" customWidth="1"/>
    <col min="14855" max="14855" width="14.88671875" style="2" customWidth="1"/>
    <col min="14856" max="14856" width="15" style="2" customWidth="1"/>
    <col min="14857" max="14857" width="13.88671875" style="2" customWidth="1"/>
    <col min="14858" max="15104" width="9.109375" style="2"/>
    <col min="15105" max="15105" width="22.44140625" style="2" customWidth="1"/>
    <col min="15106" max="15110" width="15.6640625" style="2" customWidth="1"/>
    <col min="15111" max="15111" width="14.88671875" style="2" customWidth="1"/>
    <col min="15112" max="15112" width="15" style="2" customWidth="1"/>
    <col min="15113" max="15113" width="13.88671875" style="2" customWidth="1"/>
    <col min="15114" max="15360" width="9.109375" style="2"/>
    <col min="15361" max="15361" width="22.44140625" style="2" customWidth="1"/>
    <col min="15362" max="15366" width="15.6640625" style="2" customWidth="1"/>
    <col min="15367" max="15367" width="14.88671875" style="2" customWidth="1"/>
    <col min="15368" max="15368" width="15" style="2" customWidth="1"/>
    <col min="15369" max="15369" width="13.88671875" style="2" customWidth="1"/>
    <col min="15370" max="15616" width="9.109375" style="2"/>
    <col min="15617" max="15617" width="22.44140625" style="2" customWidth="1"/>
    <col min="15618" max="15622" width="15.6640625" style="2" customWidth="1"/>
    <col min="15623" max="15623" width="14.88671875" style="2" customWidth="1"/>
    <col min="15624" max="15624" width="15" style="2" customWidth="1"/>
    <col min="15625" max="15625" width="13.88671875" style="2" customWidth="1"/>
    <col min="15626" max="15872" width="9.109375" style="2"/>
    <col min="15873" max="15873" width="22.44140625" style="2" customWidth="1"/>
    <col min="15874" max="15878" width="15.6640625" style="2" customWidth="1"/>
    <col min="15879" max="15879" width="14.88671875" style="2" customWidth="1"/>
    <col min="15880" max="15880" width="15" style="2" customWidth="1"/>
    <col min="15881" max="15881" width="13.88671875" style="2" customWidth="1"/>
    <col min="15882" max="16128" width="9.109375" style="2"/>
    <col min="16129" max="16129" width="22.44140625" style="2" customWidth="1"/>
    <col min="16130" max="16134" width="15.6640625" style="2" customWidth="1"/>
    <col min="16135" max="16135" width="14.88671875" style="2" customWidth="1"/>
    <col min="16136" max="16136" width="15" style="2" customWidth="1"/>
    <col min="16137" max="16137" width="13.88671875" style="2" customWidth="1"/>
    <col min="16138" max="16384" width="9.109375" style="2"/>
  </cols>
  <sheetData>
    <row r="1" spans="1:8" ht="15" x14ac:dyDescent="0.25">
      <c r="A1" s="3" t="s">
        <v>21</v>
      </c>
      <c r="H1" s="4"/>
    </row>
    <row r="2" spans="1:8" ht="15" x14ac:dyDescent="0.25">
      <c r="H2" s="4"/>
    </row>
    <row r="3" spans="1:8" ht="15" x14ac:dyDescent="0.25">
      <c r="A3" s="3" t="s">
        <v>0</v>
      </c>
      <c r="G3" s="3"/>
    </row>
    <row r="4" spans="1:8" ht="15" x14ac:dyDescent="0.25">
      <c r="A4" s="2" t="s">
        <v>1</v>
      </c>
      <c r="B4" s="5">
        <v>100000</v>
      </c>
    </row>
    <row r="5" spans="1:8" ht="15" x14ac:dyDescent="0.25">
      <c r="A5" s="2" t="s">
        <v>2</v>
      </c>
      <c r="B5" s="5">
        <v>75000</v>
      </c>
    </row>
    <row r="6" spans="1:8" ht="15" x14ac:dyDescent="0.25">
      <c r="A6" s="2" t="s">
        <v>3</v>
      </c>
      <c r="B6" s="6">
        <v>0.03</v>
      </c>
    </row>
    <row r="7" spans="1:8" ht="15" x14ac:dyDescent="0.25"/>
    <row r="8" spans="1:8" ht="15" x14ac:dyDescent="0.25">
      <c r="A8" s="2" t="s">
        <v>4</v>
      </c>
    </row>
    <row r="9" spans="1:8" ht="15" x14ac:dyDescent="0.25">
      <c r="B9" s="2" t="s">
        <v>5</v>
      </c>
    </row>
    <row r="10" spans="1:8" ht="15" x14ac:dyDescent="0.25">
      <c r="A10" s="7" t="s">
        <v>6</v>
      </c>
      <c r="B10" s="8" t="s">
        <v>7</v>
      </c>
      <c r="C10" s="8" t="s">
        <v>8</v>
      </c>
      <c r="D10" s="8" t="s">
        <v>9</v>
      </c>
      <c r="E10" s="8" t="s">
        <v>10</v>
      </c>
      <c r="F10" s="8" t="s">
        <v>11</v>
      </c>
    </row>
    <row r="11" spans="1:8" ht="15" x14ac:dyDescent="0.25">
      <c r="A11" s="7">
        <v>1</v>
      </c>
      <c r="B11" s="9">
        <v>1</v>
      </c>
      <c r="C11" s="9">
        <v>0</v>
      </c>
      <c r="D11" s="9">
        <v>1</v>
      </c>
      <c r="E11" s="9">
        <v>0</v>
      </c>
      <c r="F11" s="9">
        <v>0</v>
      </c>
    </row>
    <row r="12" spans="1:8" ht="15" x14ac:dyDescent="0.25">
      <c r="A12" s="7">
        <v>2</v>
      </c>
      <c r="B12" s="9">
        <v>0</v>
      </c>
      <c r="C12" s="9">
        <v>1</v>
      </c>
      <c r="D12" s="9">
        <v>0</v>
      </c>
      <c r="E12" s="9">
        <v>0</v>
      </c>
      <c r="F12" s="9">
        <v>0</v>
      </c>
    </row>
    <row r="13" spans="1:8" ht="15" x14ac:dyDescent="0.25">
      <c r="A13" s="7">
        <v>3</v>
      </c>
      <c r="B13" s="9">
        <v>0</v>
      </c>
      <c r="C13" s="9">
        <v>0</v>
      </c>
      <c r="D13" s="9">
        <v>0</v>
      </c>
      <c r="E13" s="9">
        <v>0</v>
      </c>
      <c r="F13" s="9">
        <v>1</v>
      </c>
    </row>
    <row r="14" spans="1:8" ht="15" x14ac:dyDescent="0.25">
      <c r="A14" s="7">
        <v>4</v>
      </c>
      <c r="B14" s="9">
        <v>0</v>
      </c>
      <c r="C14" s="9">
        <v>0</v>
      </c>
      <c r="D14" s="9">
        <v>0</v>
      </c>
      <c r="E14" s="9">
        <v>1</v>
      </c>
      <c r="F14" s="9">
        <v>0</v>
      </c>
    </row>
    <row r="15" spans="1:8" ht="15" x14ac:dyDescent="0.25"/>
    <row r="16" spans="1:8" ht="15" x14ac:dyDescent="0.25">
      <c r="A16" s="2" t="s">
        <v>12</v>
      </c>
    </row>
    <row r="17" spans="1:6" ht="15" x14ac:dyDescent="0.25">
      <c r="B17" s="2" t="s">
        <v>5</v>
      </c>
    </row>
    <row r="18" spans="1:6" ht="15" x14ac:dyDescent="0.25">
      <c r="A18" s="7" t="s">
        <v>6</v>
      </c>
      <c r="B18" s="8" t="s">
        <v>7</v>
      </c>
      <c r="C18" s="8" t="s">
        <v>8</v>
      </c>
      <c r="D18" s="8" t="s">
        <v>9</v>
      </c>
      <c r="E18" s="8" t="s">
        <v>10</v>
      </c>
      <c r="F18" s="8" t="s">
        <v>11</v>
      </c>
    </row>
    <row r="19" spans="1:6" ht="15" x14ac:dyDescent="0.25">
      <c r="A19" s="7">
        <v>1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</row>
    <row r="20" spans="1:6" ht="15" x14ac:dyDescent="0.25">
      <c r="A20" s="7">
        <v>2</v>
      </c>
      <c r="B20" s="9">
        <v>0.5</v>
      </c>
      <c r="C20" s="9">
        <v>0</v>
      </c>
      <c r="D20" s="9">
        <v>1.2</v>
      </c>
      <c r="E20" s="9">
        <v>0</v>
      </c>
      <c r="F20" s="9">
        <v>0</v>
      </c>
    </row>
    <row r="21" spans="1:6" ht="15" x14ac:dyDescent="0.25">
      <c r="A21" s="7">
        <v>3</v>
      </c>
      <c r="B21" s="9">
        <v>1</v>
      </c>
      <c r="C21" s="9">
        <v>0.5</v>
      </c>
      <c r="D21" s="9">
        <v>0</v>
      </c>
      <c r="E21" s="9">
        <v>0</v>
      </c>
      <c r="F21" s="9">
        <v>0</v>
      </c>
    </row>
    <row r="22" spans="1:6" ht="15" x14ac:dyDescent="0.25">
      <c r="A22" s="7">
        <v>4</v>
      </c>
      <c r="B22" s="9">
        <v>0</v>
      </c>
      <c r="C22" s="9">
        <v>1</v>
      </c>
      <c r="D22" s="9">
        <v>0</v>
      </c>
      <c r="E22" s="9">
        <v>0</v>
      </c>
      <c r="F22" s="9">
        <v>1.5</v>
      </c>
    </row>
    <row r="23" spans="1:6" ht="15" x14ac:dyDescent="0.25">
      <c r="A23" s="7">
        <v>5</v>
      </c>
      <c r="B23" s="9">
        <v>0</v>
      </c>
      <c r="C23" s="9">
        <v>0</v>
      </c>
      <c r="D23" s="9">
        <v>0</v>
      </c>
      <c r="E23" s="9">
        <v>1.9</v>
      </c>
      <c r="F23" s="9">
        <v>0</v>
      </c>
    </row>
    <row r="24" spans="1:6" ht="15" x14ac:dyDescent="0.25"/>
    <row r="25" spans="1:6" ht="15" x14ac:dyDescent="0.25">
      <c r="A25" s="3" t="s">
        <v>13</v>
      </c>
    </row>
    <row r="26" spans="1:6" x14ac:dyDescent="0.3">
      <c r="A26" s="2" t="s">
        <v>14</v>
      </c>
      <c r="B26" s="1"/>
      <c r="C26" s="1"/>
      <c r="D26" s="1"/>
      <c r="E26" s="1"/>
      <c r="F26" s="1"/>
    </row>
    <row r="27" spans="1:6" x14ac:dyDescent="0.3">
      <c r="B27" s="8"/>
      <c r="C27" s="8"/>
      <c r="D27" s="8"/>
      <c r="E27" s="8"/>
      <c r="F27" s="8"/>
    </row>
    <row r="28" spans="1:6" x14ac:dyDescent="0.3">
      <c r="A28" s="2" t="s">
        <v>2</v>
      </c>
      <c r="B28" s="5"/>
      <c r="C28" s="5"/>
      <c r="D28" s="5"/>
      <c r="E28" s="5"/>
      <c r="F28" s="5"/>
    </row>
    <row r="30" spans="1:6" x14ac:dyDescent="0.3">
      <c r="A30" s="3" t="s">
        <v>15</v>
      </c>
    </row>
    <row r="31" spans="1:6" ht="29.25" customHeight="1" x14ac:dyDescent="0.3">
      <c r="A31" s="7" t="s">
        <v>6</v>
      </c>
      <c r="B31" s="10" t="s">
        <v>16</v>
      </c>
      <c r="C31" s="10" t="s">
        <v>17</v>
      </c>
      <c r="D31" s="10" t="s">
        <v>18</v>
      </c>
      <c r="E31" s="10" t="s">
        <v>19</v>
      </c>
    </row>
    <row r="32" spans="1:6" x14ac:dyDescent="0.3">
      <c r="A32" s="7">
        <v>1</v>
      </c>
      <c r="B32" s="1"/>
      <c r="C32" s="1"/>
      <c r="D32" s="1"/>
      <c r="E32" s="1"/>
      <c r="F32" s="7"/>
    </row>
    <row r="33" spans="1:7" x14ac:dyDescent="0.3">
      <c r="A33" s="7">
        <v>2</v>
      </c>
      <c r="B33" s="1"/>
      <c r="C33" s="1"/>
      <c r="D33" s="1"/>
      <c r="E33" s="1"/>
      <c r="F33" s="7"/>
    </row>
    <row r="34" spans="1:7" x14ac:dyDescent="0.3">
      <c r="A34" s="7">
        <v>3</v>
      </c>
      <c r="B34" s="1"/>
      <c r="C34" s="1"/>
      <c r="D34" s="1"/>
      <c r="E34" s="1"/>
      <c r="F34" s="7"/>
    </row>
    <row r="35" spans="1:7" x14ac:dyDescent="0.3">
      <c r="A35" s="7">
        <v>4</v>
      </c>
      <c r="B35" s="1"/>
      <c r="C35" s="1"/>
      <c r="D35" s="1"/>
      <c r="E35" s="1"/>
      <c r="F35" s="7"/>
    </row>
    <row r="36" spans="1:7" x14ac:dyDescent="0.3">
      <c r="A36" s="7">
        <v>5</v>
      </c>
      <c r="B36" s="1"/>
      <c r="C36" s="1"/>
    </row>
    <row r="38" spans="1:7" x14ac:dyDescent="0.3">
      <c r="A38" s="3" t="s">
        <v>20</v>
      </c>
      <c r="B38" s="1"/>
      <c r="D38" s="11"/>
    </row>
    <row r="40" spans="1:7" x14ac:dyDescent="0.3">
      <c r="A40" s="3"/>
    </row>
    <row r="41" spans="1:7" x14ac:dyDescent="0.3">
      <c r="B41" s="8"/>
      <c r="C41" s="8"/>
      <c r="D41" s="8"/>
      <c r="E41" s="8"/>
      <c r="F41" s="8"/>
      <c r="G41" s="8"/>
    </row>
    <row r="42" spans="1:7" x14ac:dyDescent="0.3">
      <c r="B42" s="1"/>
      <c r="C42" s="1"/>
      <c r="D42" s="1"/>
      <c r="E42" s="1"/>
      <c r="F42" s="1"/>
      <c r="G42" s="1"/>
    </row>
    <row r="43" spans="1:7" x14ac:dyDescent="0.3">
      <c r="B43" s="1"/>
      <c r="C43" s="1"/>
      <c r="D43" s="1"/>
      <c r="E43" s="1"/>
      <c r="F43" s="1"/>
      <c r="G43" s="1"/>
    </row>
    <row r="44" spans="1:7" x14ac:dyDescent="0.3">
      <c r="B44" s="1"/>
      <c r="C44" s="1"/>
      <c r="D44" s="1"/>
      <c r="E44" s="1"/>
      <c r="F44" s="1"/>
      <c r="G44" s="1"/>
    </row>
    <row r="45" spans="1:7" x14ac:dyDescent="0.3">
      <c r="B45" s="1"/>
      <c r="C45" s="1"/>
      <c r="D45" s="1"/>
      <c r="E45" s="1"/>
      <c r="F45" s="1"/>
      <c r="G45" s="1"/>
    </row>
    <row r="46" spans="1:7" x14ac:dyDescent="0.3">
      <c r="B46" s="1"/>
      <c r="C46" s="1"/>
      <c r="D46" s="1"/>
      <c r="E46" s="1"/>
      <c r="F46" s="1"/>
      <c r="G46" s="1"/>
    </row>
    <row r="47" spans="1:7" x14ac:dyDescent="0.3">
      <c r="B47" s="1"/>
      <c r="C47" s="1"/>
      <c r="D47" s="1"/>
      <c r="E47" s="1"/>
      <c r="F47" s="1"/>
      <c r="G47" s="1"/>
    </row>
    <row r="48" spans="1:7" x14ac:dyDescent="0.3">
      <c r="B48" s="1"/>
      <c r="C48" s="1"/>
      <c r="D48" s="1"/>
      <c r="E48" s="1"/>
      <c r="F48" s="1"/>
      <c r="G48" s="1"/>
    </row>
    <row r="51" spans="1:2" x14ac:dyDescent="0.3">
      <c r="B51" s="1"/>
    </row>
    <row r="53" spans="1:2" x14ac:dyDescent="0.3">
      <c r="A53" s="3"/>
    </row>
  </sheetData>
  <printOptions headings="1" gridLines="1"/>
  <pageMargins left="0.75" right="0.75" top="1" bottom="1" header="0.5" footer="0.5"/>
  <pageSetup scale="76"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06DE7-64EB-47F3-819D-9100AB25C8EE}">
  <dimension ref="A1:G45"/>
  <sheetViews>
    <sheetView topLeftCell="A25" zoomScale="70" zoomScaleNormal="70" workbookViewId="0">
      <selection activeCell="C25" sqref="C25"/>
    </sheetView>
  </sheetViews>
  <sheetFormatPr defaultRowHeight="14.4" x14ac:dyDescent="0.3"/>
  <cols>
    <col min="1" max="1" width="47.33203125" customWidth="1"/>
    <col min="2" max="2" width="24.33203125" customWidth="1"/>
    <col min="3" max="3" width="21" customWidth="1"/>
    <col min="4" max="4" width="15.44140625" customWidth="1"/>
    <col min="5" max="5" width="14" customWidth="1"/>
  </cols>
  <sheetData>
    <row r="1" spans="1:7" ht="34.049999999999997" customHeight="1" x14ac:dyDescent="0.35">
      <c r="A1" s="16" t="s">
        <v>22</v>
      </c>
      <c r="B1" s="16"/>
      <c r="C1" s="16"/>
      <c r="D1" s="16"/>
      <c r="E1" s="16"/>
      <c r="F1" s="16"/>
      <c r="G1" s="16"/>
    </row>
    <row r="2" spans="1:7" ht="7.95" customHeight="1" x14ac:dyDescent="0.3"/>
    <row r="3" spans="1:7" ht="22.05" customHeight="1" x14ac:dyDescent="0.3">
      <c r="A3" s="17" t="s">
        <v>23</v>
      </c>
      <c r="B3" s="17"/>
      <c r="C3" s="17"/>
      <c r="D3" s="17"/>
      <c r="E3" s="17"/>
      <c r="F3" s="17"/>
      <c r="G3" s="17"/>
    </row>
    <row r="4" spans="1:7" ht="18" customHeight="1" x14ac:dyDescent="0.3">
      <c r="A4" t="s">
        <v>1</v>
      </c>
      <c r="B4" s="12">
        <v>100000</v>
      </c>
    </row>
    <row r="5" spans="1:7" ht="18" customHeight="1" x14ac:dyDescent="0.3">
      <c r="A5" t="s">
        <v>2</v>
      </c>
      <c r="B5" s="12">
        <v>75000</v>
      </c>
    </row>
    <row r="6" spans="1:7" ht="18" customHeight="1" x14ac:dyDescent="0.3">
      <c r="A6" t="s">
        <v>24</v>
      </c>
      <c r="B6" s="13">
        <v>0.03</v>
      </c>
    </row>
    <row r="7" spans="1:7" ht="7.95" customHeight="1" x14ac:dyDescent="0.3"/>
    <row r="8" spans="1:7" ht="22.05" customHeight="1" x14ac:dyDescent="0.3">
      <c r="A8" s="17" t="s">
        <v>25</v>
      </c>
      <c r="B8" s="17"/>
      <c r="C8" s="17"/>
      <c r="D8" s="17"/>
      <c r="E8" s="17"/>
      <c r="F8" s="17"/>
      <c r="G8" s="17"/>
    </row>
    <row r="9" spans="1:7" ht="19.95" customHeight="1" x14ac:dyDescent="0.3">
      <c r="A9" s="18" t="s">
        <v>6</v>
      </c>
      <c r="B9" s="18" t="s">
        <v>26</v>
      </c>
      <c r="C9" s="18" t="s">
        <v>27</v>
      </c>
      <c r="D9" s="18" t="s">
        <v>28</v>
      </c>
      <c r="E9" s="18" t="s">
        <v>29</v>
      </c>
      <c r="F9" s="18" t="s">
        <v>30</v>
      </c>
    </row>
    <row r="10" spans="1:7" ht="18" customHeight="1" x14ac:dyDescent="0.3">
      <c r="A10" s="19">
        <v>1</v>
      </c>
      <c r="B10" s="20">
        <v>1</v>
      </c>
      <c r="C10" s="20">
        <v>0</v>
      </c>
      <c r="D10" s="20">
        <v>1</v>
      </c>
      <c r="E10" s="20">
        <v>0</v>
      </c>
      <c r="F10" s="20">
        <v>0</v>
      </c>
    </row>
    <row r="11" spans="1:7" ht="18" customHeight="1" x14ac:dyDescent="0.3">
      <c r="A11" s="21">
        <v>2</v>
      </c>
      <c r="B11" s="22">
        <v>0</v>
      </c>
      <c r="C11" s="22">
        <v>1</v>
      </c>
      <c r="D11" s="22">
        <v>0</v>
      </c>
      <c r="E11" s="22">
        <v>0</v>
      </c>
      <c r="F11" s="22">
        <v>0</v>
      </c>
    </row>
    <row r="12" spans="1:7" ht="18" customHeight="1" x14ac:dyDescent="0.3">
      <c r="A12" s="19">
        <v>3</v>
      </c>
      <c r="B12" s="20">
        <v>0</v>
      </c>
      <c r="C12" s="20">
        <v>0</v>
      </c>
      <c r="D12" s="20">
        <v>0</v>
      </c>
      <c r="E12" s="20">
        <v>0</v>
      </c>
      <c r="F12" s="20">
        <v>1</v>
      </c>
    </row>
    <row r="13" spans="1:7" ht="18" customHeight="1" x14ac:dyDescent="0.3">
      <c r="A13" s="21">
        <v>4</v>
      </c>
      <c r="B13" s="22">
        <v>0</v>
      </c>
      <c r="C13" s="22">
        <v>0</v>
      </c>
      <c r="D13" s="22">
        <v>0</v>
      </c>
      <c r="E13" s="22">
        <v>1</v>
      </c>
      <c r="F13" s="22">
        <v>0</v>
      </c>
    </row>
    <row r="14" spans="1:7" ht="7.95" customHeight="1" x14ac:dyDescent="0.3"/>
    <row r="15" spans="1:7" ht="22.05" customHeight="1" x14ac:dyDescent="0.3">
      <c r="A15" s="17" t="s">
        <v>31</v>
      </c>
      <c r="B15" s="17"/>
      <c r="C15" s="17"/>
      <c r="D15" s="17"/>
      <c r="E15" s="17"/>
      <c r="F15" s="17"/>
      <c r="G15" s="17"/>
    </row>
    <row r="16" spans="1:7" ht="19.95" customHeight="1" x14ac:dyDescent="0.3">
      <c r="A16" s="18" t="s">
        <v>6</v>
      </c>
      <c r="B16" s="18" t="s">
        <v>26</v>
      </c>
      <c r="C16" s="18" t="s">
        <v>27</v>
      </c>
      <c r="D16" s="18" t="s">
        <v>28</v>
      </c>
      <c r="E16" s="18" t="s">
        <v>29</v>
      </c>
      <c r="F16" s="18" t="s">
        <v>30</v>
      </c>
    </row>
    <row r="17" spans="1:7" ht="18" customHeight="1" x14ac:dyDescent="0.3">
      <c r="A17" s="19">
        <v>1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</row>
    <row r="18" spans="1:7" ht="18" customHeight="1" x14ac:dyDescent="0.3">
      <c r="A18" s="21">
        <v>2</v>
      </c>
      <c r="B18" s="22">
        <v>0.5</v>
      </c>
      <c r="C18" s="22">
        <v>0</v>
      </c>
      <c r="D18" s="22">
        <v>1.2</v>
      </c>
      <c r="E18" s="22">
        <v>0</v>
      </c>
      <c r="F18" s="22">
        <v>0</v>
      </c>
    </row>
    <row r="19" spans="1:7" ht="18" customHeight="1" x14ac:dyDescent="0.3">
      <c r="A19" s="19">
        <v>3</v>
      </c>
      <c r="B19" s="20">
        <v>1</v>
      </c>
      <c r="C19" s="20">
        <v>0.5</v>
      </c>
      <c r="D19" s="20">
        <v>0</v>
      </c>
      <c r="E19" s="20">
        <v>0</v>
      </c>
      <c r="F19" s="20">
        <v>0</v>
      </c>
    </row>
    <row r="20" spans="1:7" ht="18" customHeight="1" x14ac:dyDescent="0.3">
      <c r="A20" s="21">
        <v>4</v>
      </c>
      <c r="B20" s="22">
        <v>0</v>
      </c>
      <c r="C20" s="22">
        <v>1</v>
      </c>
      <c r="D20" s="22">
        <v>0</v>
      </c>
      <c r="E20" s="22">
        <v>0</v>
      </c>
      <c r="F20" s="22">
        <v>1.5</v>
      </c>
    </row>
    <row r="21" spans="1:7" ht="18" customHeight="1" x14ac:dyDescent="0.3">
      <c r="A21" s="19">
        <v>5</v>
      </c>
      <c r="B21" s="20">
        <v>0</v>
      </c>
      <c r="C21" s="20">
        <v>0</v>
      </c>
      <c r="D21" s="20">
        <v>0</v>
      </c>
      <c r="E21" s="20">
        <v>1.9</v>
      </c>
      <c r="F21" s="20">
        <v>0</v>
      </c>
    </row>
    <row r="22" spans="1:7" ht="7.95" customHeight="1" x14ac:dyDescent="0.3"/>
    <row r="23" spans="1:7" ht="22.05" customHeight="1" x14ac:dyDescent="0.3">
      <c r="A23" s="17" t="s">
        <v>32</v>
      </c>
      <c r="B23" s="17"/>
      <c r="C23" s="17"/>
      <c r="D23" s="17"/>
      <c r="E23" s="17"/>
      <c r="F23" s="17"/>
      <c r="G23" s="17"/>
    </row>
    <row r="24" spans="1:7" ht="19.95" customHeight="1" x14ac:dyDescent="0.3">
      <c r="A24" s="23" t="s">
        <v>33</v>
      </c>
      <c r="B24" s="18" t="s">
        <v>26</v>
      </c>
      <c r="C24" s="18" t="s">
        <v>27</v>
      </c>
      <c r="D24" s="18" t="s">
        <v>28</v>
      </c>
      <c r="E24" s="18" t="s">
        <v>29</v>
      </c>
      <c r="F24" s="18" t="s">
        <v>30</v>
      </c>
    </row>
    <row r="25" spans="1:7" ht="22.05" customHeight="1" x14ac:dyDescent="0.3">
      <c r="A25" s="24" t="s">
        <v>34</v>
      </c>
      <c r="B25" s="25">
        <v>64285.714285732101</v>
      </c>
      <c r="C25" s="25">
        <v>75000</v>
      </c>
      <c r="D25" s="25">
        <v>35714.285714267899</v>
      </c>
      <c r="E25" s="25">
        <v>75000</v>
      </c>
      <c r="F25" s="25">
        <v>75000</v>
      </c>
    </row>
    <row r="26" spans="1:7" ht="16.05" customHeight="1" x14ac:dyDescent="0.3">
      <c r="A26" s="26"/>
      <c r="B26" s="21" t="s">
        <v>35</v>
      </c>
      <c r="C26" s="21" t="s">
        <v>35</v>
      </c>
      <c r="D26" s="21" t="s">
        <v>35</v>
      </c>
      <c r="E26" s="21" t="s">
        <v>35</v>
      </c>
      <c r="F26" s="21" t="s">
        <v>35</v>
      </c>
    </row>
    <row r="27" spans="1:7" ht="18" customHeight="1" x14ac:dyDescent="0.3">
      <c r="A27" s="26" t="s">
        <v>2</v>
      </c>
      <c r="B27" s="27">
        <f>$B$5</f>
        <v>75000</v>
      </c>
      <c r="C27" s="27">
        <f>$B$5</f>
        <v>75000</v>
      </c>
      <c r="D27" s="27">
        <f>$B$5</f>
        <v>75000</v>
      </c>
      <c r="E27" s="27">
        <f>$B$5</f>
        <v>75000</v>
      </c>
      <c r="F27" s="27">
        <f>$B$5</f>
        <v>75000</v>
      </c>
    </row>
    <row r="28" spans="1:7" ht="7.95" customHeight="1" x14ac:dyDescent="0.3"/>
    <row r="29" spans="1:7" ht="22.05" customHeight="1" x14ac:dyDescent="0.3">
      <c r="A29" s="17" t="s">
        <v>36</v>
      </c>
      <c r="B29" s="17"/>
      <c r="C29" s="17"/>
      <c r="D29" s="17"/>
      <c r="E29" s="17"/>
      <c r="F29" s="17"/>
      <c r="G29" s="17"/>
    </row>
    <row r="30" spans="1:7" ht="19.95" customHeight="1" x14ac:dyDescent="0.3">
      <c r="A30" s="18" t="s">
        <v>6</v>
      </c>
      <c r="B30" s="18" t="s">
        <v>37</v>
      </c>
      <c r="C30" s="18" t="s">
        <v>38</v>
      </c>
      <c r="D30" s="18" t="s">
        <v>39</v>
      </c>
      <c r="E30" s="18" t="s">
        <v>40</v>
      </c>
      <c r="F30" s="28"/>
      <c r="G30" s="18" t="s">
        <v>41</v>
      </c>
    </row>
    <row r="31" spans="1:7" ht="18" customHeight="1" x14ac:dyDescent="0.3">
      <c r="A31" s="19">
        <v>1</v>
      </c>
      <c r="B31" s="29">
        <f>B4</f>
        <v>100000</v>
      </c>
      <c r="C31" s="29">
        <f>SUMPRODUCT(B17:F17,$B$25:$F$25)</f>
        <v>0</v>
      </c>
      <c r="D31" s="29">
        <f>SUMPRODUCT(B10:F10,$B$25:$F$25)</f>
        <v>100000</v>
      </c>
      <c r="E31" s="29">
        <f>B31+C31-D31</f>
        <v>0</v>
      </c>
      <c r="F31" s="19" t="s">
        <v>42</v>
      </c>
      <c r="G31" s="19">
        <v>0</v>
      </c>
    </row>
    <row r="32" spans="1:7" ht="18" customHeight="1" x14ac:dyDescent="0.3">
      <c r="A32" s="21">
        <v>2</v>
      </c>
      <c r="B32" s="27">
        <f>E31*(1+$B$6)</f>
        <v>0</v>
      </c>
      <c r="C32" s="27">
        <f>SUMPRODUCT(B18:F18,$B$25:$F$25)</f>
        <v>74999.999999987529</v>
      </c>
      <c r="D32" s="27">
        <f>SUMPRODUCT(B11:F11,$B$25:$F$25)</f>
        <v>75000</v>
      </c>
      <c r="E32" s="27">
        <f>B32+C32-D32</f>
        <v>-1.2470991350710392E-8</v>
      </c>
      <c r="F32" s="21" t="s">
        <v>42</v>
      </c>
      <c r="G32" s="21">
        <v>0</v>
      </c>
    </row>
    <row r="33" spans="1:7" ht="18" customHeight="1" x14ac:dyDescent="0.3">
      <c r="A33" s="19">
        <v>3</v>
      </c>
      <c r="B33" s="29">
        <f>E32*(1+$B$6)</f>
        <v>-1.2845121091231704E-8</v>
      </c>
      <c r="C33" s="29">
        <f>SUMPRODUCT(B19:F19,$B$25:$F$25)</f>
        <v>101785.7142857321</v>
      </c>
      <c r="D33" s="29">
        <f>SUMPRODUCT(B12:F12,$B$25:$F$25)</f>
        <v>75000</v>
      </c>
      <c r="E33" s="29">
        <f>B33+C33-D33</f>
        <v>26785.714285719252</v>
      </c>
      <c r="F33" s="19" t="s">
        <v>42</v>
      </c>
      <c r="G33" s="19">
        <v>0</v>
      </c>
    </row>
    <row r="34" spans="1:7" ht="18" customHeight="1" x14ac:dyDescent="0.3">
      <c r="A34" s="21">
        <v>4</v>
      </c>
      <c r="B34" s="27">
        <f>E33*(1+$B$6)</f>
        <v>27589.285714290829</v>
      </c>
      <c r="C34" s="27">
        <f>SUMPRODUCT(B20:F20,$B$25:$F$25)</f>
        <v>187500</v>
      </c>
      <c r="D34" s="27">
        <f>SUMPRODUCT(B13:F13,$B$25:$F$25)</f>
        <v>75000</v>
      </c>
      <c r="E34" s="27">
        <f>B34+C34-D34</f>
        <v>140089.28571429083</v>
      </c>
      <c r="F34" s="21" t="s">
        <v>42</v>
      </c>
      <c r="G34" s="21">
        <v>0</v>
      </c>
    </row>
    <row r="35" spans="1:7" ht="18" customHeight="1" x14ac:dyDescent="0.3">
      <c r="A35" s="19">
        <v>5</v>
      </c>
      <c r="B35" s="29">
        <f>E34*(1+$B$6)</f>
        <v>144291.96428571956</v>
      </c>
      <c r="C35" s="29">
        <f>SUMPRODUCT(B21:F21,$B$25:$F$25)</f>
        <v>142500</v>
      </c>
      <c r="D35" s="30"/>
      <c r="E35" s="30"/>
      <c r="F35" s="30"/>
      <c r="G35" s="30"/>
    </row>
    <row r="36" spans="1:7" ht="7.95" customHeight="1" x14ac:dyDescent="0.3"/>
    <row r="37" spans="1:7" ht="22.05" customHeight="1" thickBot="1" x14ac:dyDescent="0.35">
      <c r="A37" s="17" t="s">
        <v>43</v>
      </c>
      <c r="B37" s="17"/>
      <c r="C37" s="17"/>
      <c r="D37" s="17"/>
      <c r="E37" s="17"/>
      <c r="F37" s="17"/>
      <c r="G37" s="17"/>
    </row>
    <row r="38" spans="1:7" ht="25.95" customHeight="1" thickBot="1" x14ac:dyDescent="0.35">
      <c r="A38" s="31" t="s">
        <v>44</v>
      </c>
      <c r="B38" s="32">
        <f>B35+C35</f>
        <v>286791.96428571956</v>
      </c>
    </row>
    <row r="39" spans="1:7" ht="7.95" customHeight="1" x14ac:dyDescent="0.3"/>
    <row r="40" spans="1:7" ht="22.05" customHeight="1" x14ac:dyDescent="0.3">
      <c r="A40" s="17" t="s">
        <v>45</v>
      </c>
      <c r="B40" s="17"/>
      <c r="C40" s="17"/>
      <c r="D40" s="17"/>
      <c r="E40" s="17"/>
      <c r="F40" s="17"/>
      <c r="G40" s="17"/>
    </row>
    <row r="41" spans="1:7" ht="18" customHeight="1" x14ac:dyDescent="0.3">
      <c r="A41" s="14" t="s">
        <v>46</v>
      </c>
      <c r="B41" s="14" t="s">
        <v>47</v>
      </c>
    </row>
    <row r="42" spans="1:7" ht="18" customHeight="1" x14ac:dyDescent="0.3">
      <c r="A42" s="15" t="s">
        <v>48</v>
      </c>
      <c r="B42" s="15" t="s">
        <v>49</v>
      </c>
    </row>
    <row r="43" spans="1:7" ht="18" customHeight="1" x14ac:dyDescent="0.3">
      <c r="A43" s="14" t="s">
        <v>50</v>
      </c>
      <c r="B43" s="14" t="s">
        <v>51</v>
      </c>
    </row>
    <row r="44" spans="1:7" ht="18" customHeight="1" x14ac:dyDescent="0.3">
      <c r="A44" s="15" t="s">
        <v>52</v>
      </c>
      <c r="B44" s="15" t="s">
        <v>53</v>
      </c>
    </row>
    <row r="45" spans="1:7" ht="18" customHeight="1" x14ac:dyDescent="0.3">
      <c r="A45" s="14" t="s">
        <v>54</v>
      </c>
      <c r="B45" s="14" t="s">
        <v>55</v>
      </c>
    </row>
  </sheetData>
  <mergeCells count="8">
    <mergeCell ref="A37:G37"/>
    <mergeCell ref="A40:G40"/>
    <mergeCell ref="A1:G1"/>
    <mergeCell ref="A3:G3"/>
    <mergeCell ref="A8:G8"/>
    <mergeCell ref="A15:G15"/>
    <mergeCell ref="A23:G23"/>
    <mergeCell ref="A29:G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473D8-68EE-4FDB-87A6-7A977C1039E3}">
  <dimension ref="A1:G37"/>
  <sheetViews>
    <sheetView tabSelected="1" zoomScaleNormal="100" workbookViewId="0">
      <selection activeCell="I4" sqref="I4"/>
    </sheetView>
  </sheetViews>
  <sheetFormatPr defaultRowHeight="14.4" x14ac:dyDescent="0.3"/>
  <cols>
    <col min="1" max="1" width="44.5546875" customWidth="1"/>
    <col min="2" max="2" width="54.5546875" customWidth="1"/>
    <col min="3" max="3" width="26.44140625" customWidth="1"/>
    <col min="4" max="4" width="15.6640625" customWidth="1"/>
    <col min="5" max="5" width="13" customWidth="1"/>
    <col min="6" max="6" width="13.5546875" customWidth="1"/>
    <col min="7" max="7" width="19.5546875" customWidth="1"/>
  </cols>
  <sheetData>
    <row r="1" spans="1:7" ht="34.049999999999997" customHeight="1" x14ac:dyDescent="0.35">
      <c r="A1" s="16" t="s">
        <v>66</v>
      </c>
      <c r="B1" s="16"/>
      <c r="C1" s="16"/>
      <c r="D1" s="16"/>
      <c r="E1" s="16"/>
      <c r="F1" s="16"/>
      <c r="G1" s="16"/>
    </row>
    <row r="2" spans="1:7" ht="7.95" customHeight="1" x14ac:dyDescent="0.3"/>
    <row r="3" spans="1:7" ht="22.05" customHeight="1" x14ac:dyDescent="0.3">
      <c r="A3" s="17" t="s">
        <v>56</v>
      </c>
      <c r="B3" s="17"/>
      <c r="C3" s="17"/>
      <c r="D3" s="17"/>
      <c r="E3" s="17"/>
      <c r="F3" s="17"/>
      <c r="G3" s="17"/>
    </row>
    <row r="4" spans="1:7" ht="22.05" customHeight="1" x14ac:dyDescent="0.3">
      <c r="A4" t="s">
        <v>57</v>
      </c>
    </row>
    <row r="5" spans="1:7" ht="22.05" customHeight="1" x14ac:dyDescent="0.3">
      <c r="A5" t="s">
        <v>65</v>
      </c>
    </row>
    <row r="6" spans="1:7" ht="7.95" customHeight="1" x14ac:dyDescent="0.3"/>
    <row r="7" spans="1:7" ht="22.05" customHeight="1" x14ac:dyDescent="0.3">
      <c r="A7" s="17" t="s">
        <v>23</v>
      </c>
      <c r="B7" s="17"/>
      <c r="C7" s="17"/>
      <c r="D7" s="17"/>
      <c r="E7" s="17"/>
      <c r="F7" s="17"/>
      <c r="G7" s="17"/>
    </row>
    <row r="8" spans="1:7" ht="18" customHeight="1" x14ac:dyDescent="0.3">
      <c r="A8" t="s">
        <v>1</v>
      </c>
      <c r="B8" s="33">
        <f>'Investing Model'!B4</f>
        <v>100000</v>
      </c>
    </row>
    <row r="9" spans="1:7" ht="18" customHeight="1" x14ac:dyDescent="0.3">
      <c r="A9" t="s">
        <v>24</v>
      </c>
      <c r="B9" s="34">
        <f>'Investing Model'!B6</f>
        <v>0.03</v>
      </c>
    </row>
    <row r="10" spans="1:7" ht="7.95" customHeight="1" x14ac:dyDescent="0.3"/>
    <row r="11" spans="1:7" ht="22.05" customHeight="1" x14ac:dyDescent="0.3">
      <c r="A11" s="17" t="s">
        <v>58</v>
      </c>
      <c r="B11" s="17"/>
      <c r="C11" s="17"/>
      <c r="D11" s="17"/>
      <c r="E11" s="17"/>
      <c r="F11" s="17"/>
      <c r="G11" s="17"/>
    </row>
    <row r="12" spans="1:7" ht="19.95" customHeight="1" x14ac:dyDescent="0.3">
      <c r="A12" s="28"/>
      <c r="B12" s="18" t="s">
        <v>26</v>
      </c>
      <c r="C12" s="18" t="s">
        <v>27</v>
      </c>
      <c r="D12" s="18" t="s">
        <v>28</v>
      </c>
      <c r="E12" s="18" t="s">
        <v>29</v>
      </c>
      <c r="F12" s="18" t="s">
        <v>30</v>
      </c>
    </row>
    <row r="13" spans="1:7" ht="19.95" customHeight="1" x14ac:dyDescent="0.3">
      <c r="A13" s="35" t="s">
        <v>59</v>
      </c>
      <c r="B13" s="36">
        <v>50000</v>
      </c>
      <c r="C13" s="36">
        <v>50000</v>
      </c>
      <c r="D13" s="36">
        <v>50000</v>
      </c>
      <c r="E13" s="36">
        <v>50000</v>
      </c>
      <c r="F13" s="36">
        <v>50000</v>
      </c>
    </row>
    <row r="14" spans="1:7" ht="7.95" customHeight="1" x14ac:dyDescent="0.3"/>
    <row r="15" spans="1:7" ht="22.05" customHeight="1" x14ac:dyDescent="0.3">
      <c r="A15" s="17" t="s">
        <v>32</v>
      </c>
      <c r="B15" s="17"/>
      <c r="C15" s="17"/>
      <c r="D15" s="17"/>
      <c r="E15" s="17"/>
      <c r="F15" s="17"/>
      <c r="G15" s="17"/>
    </row>
    <row r="16" spans="1:7" ht="19.95" customHeight="1" x14ac:dyDescent="0.3">
      <c r="A16" s="23" t="s">
        <v>33</v>
      </c>
      <c r="B16" s="18" t="s">
        <v>26</v>
      </c>
      <c r="C16" s="18" t="s">
        <v>27</v>
      </c>
      <c r="D16" s="18" t="s">
        <v>28</v>
      </c>
      <c r="E16" s="18" t="s">
        <v>29</v>
      </c>
      <c r="F16" s="18" t="s">
        <v>30</v>
      </c>
    </row>
    <row r="17" spans="1:7" ht="22.05" customHeight="1" x14ac:dyDescent="0.3">
      <c r="A17" s="24" t="s">
        <v>34</v>
      </c>
      <c r="B17" s="25">
        <v>50000</v>
      </c>
      <c r="C17" s="25">
        <v>84999.999999970896</v>
      </c>
      <c r="D17" s="25">
        <v>50000</v>
      </c>
      <c r="E17" s="25">
        <v>223750.000000158</v>
      </c>
      <c r="F17" s="25">
        <v>92499.999999902502</v>
      </c>
    </row>
    <row r="18" spans="1:7" ht="16.05" customHeight="1" x14ac:dyDescent="0.3">
      <c r="A18" s="26"/>
      <c r="B18" s="21" t="s">
        <v>42</v>
      </c>
      <c r="C18" s="21" t="s">
        <v>42</v>
      </c>
      <c r="D18" s="21" t="s">
        <v>42</v>
      </c>
      <c r="E18" s="21" t="s">
        <v>42</v>
      </c>
      <c r="F18" s="21" t="s">
        <v>42</v>
      </c>
    </row>
    <row r="19" spans="1:7" ht="18" customHeight="1" x14ac:dyDescent="0.3">
      <c r="A19" s="26" t="s">
        <v>59</v>
      </c>
      <c r="B19" s="27">
        <f>B13</f>
        <v>50000</v>
      </c>
      <c r="C19" s="27">
        <f>C13</f>
        <v>50000</v>
      </c>
      <c r="D19" s="27">
        <f>D13</f>
        <v>50000</v>
      </c>
      <c r="E19" s="27">
        <f>E13</f>
        <v>50000</v>
      </c>
      <c r="F19" s="27">
        <f>F13</f>
        <v>50000</v>
      </c>
    </row>
    <row r="20" spans="1:7" ht="7.95" customHeight="1" x14ac:dyDescent="0.3"/>
    <row r="21" spans="1:7" ht="22.05" customHeight="1" x14ac:dyDescent="0.3">
      <c r="A21" s="17" t="s">
        <v>36</v>
      </c>
      <c r="B21" s="17"/>
      <c r="C21" s="17"/>
      <c r="D21" s="17"/>
      <c r="E21" s="17"/>
      <c r="F21" s="17"/>
      <c r="G21" s="17"/>
    </row>
    <row r="22" spans="1:7" ht="19.95" customHeight="1" x14ac:dyDescent="0.3">
      <c r="A22" s="18" t="s">
        <v>6</v>
      </c>
      <c r="B22" s="18" t="s">
        <v>37</v>
      </c>
      <c r="C22" s="18" t="s">
        <v>38</v>
      </c>
      <c r="D22" s="18" t="s">
        <v>39</v>
      </c>
      <c r="E22" s="18" t="s">
        <v>40</v>
      </c>
      <c r="F22" s="28"/>
      <c r="G22" s="18" t="s">
        <v>41</v>
      </c>
    </row>
    <row r="23" spans="1:7" ht="18" customHeight="1" x14ac:dyDescent="0.3">
      <c r="A23" s="19">
        <v>1</v>
      </c>
      <c r="B23" s="29">
        <f>'Investing Model'!B4</f>
        <v>100000</v>
      </c>
      <c r="C23" s="29">
        <f>SUMPRODUCT('Investing Model'!B17:F17,$B$17:$F$17)</f>
        <v>0</v>
      </c>
      <c r="D23" s="29">
        <f>SUMPRODUCT('Investing Model'!B10:F10,$B$17:$F$17)</f>
        <v>100000</v>
      </c>
      <c r="E23" s="29">
        <f>B23+C23-D23</f>
        <v>0</v>
      </c>
      <c r="F23" s="19" t="s">
        <v>42</v>
      </c>
      <c r="G23" s="19">
        <v>0</v>
      </c>
    </row>
    <row r="24" spans="1:7" ht="18" customHeight="1" x14ac:dyDescent="0.3">
      <c r="A24" s="21">
        <v>2</v>
      </c>
      <c r="B24" s="27">
        <f>E23*(1+$B$9)</f>
        <v>0</v>
      </c>
      <c r="C24" s="27">
        <f>SUMPRODUCT('Investing Model'!B18:F18,$B$17:$F$17)</f>
        <v>85000</v>
      </c>
      <c r="D24" s="27">
        <f>SUMPRODUCT('Investing Model'!B11:F11,$B$17:$F$17)</f>
        <v>84999.999999970896</v>
      </c>
      <c r="E24" s="27">
        <f>B24+C24-D24</f>
        <v>2.9103830456733704E-8</v>
      </c>
      <c r="F24" s="21" t="s">
        <v>42</v>
      </c>
      <c r="G24" s="21">
        <v>0</v>
      </c>
    </row>
    <row r="25" spans="1:7" ht="18" customHeight="1" x14ac:dyDescent="0.3">
      <c r="A25" s="19">
        <v>3</v>
      </c>
      <c r="B25" s="29">
        <f>E24*(1+$B$9)</f>
        <v>2.9976945370435715E-8</v>
      </c>
      <c r="C25" s="29">
        <f>SUMPRODUCT('Investing Model'!B19:F19,$B$17:$F$17)</f>
        <v>92499.999999985448</v>
      </c>
      <c r="D25" s="29">
        <f>SUMPRODUCT('Investing Model'!B12:F12,$B$17:$F$17)</f>
        <v>92499.999999902502</v>
      </c>
      <c r="E25" s="29">
        <f>B25+C25-D25</f>
        <v>1.1292286217212677E-7</v>
      </c>
      <c r="F25" s="19" t="s">
        <v>42</v>
      </c>
      <c r="G25" s="19">
        <v>0</v>
      </c>
    </row>
    <row r="26" spans="1:7" ht="18" customHeight="1" x14ac:dyDescent="0.3">
      <c r="A26" s="21">
        <v>4</v>
      </c>
      <c r="B26" s="27">
        <f>E25*(1+$B$9)</f>
        <v>1.1631054803729058E-7</v>
      </c>
      <c r="C26" s="27">
        <f>SUMPRODUCT('Investing Model'!B20:F20,$B$17:$F$17)</f>
        <v>223749.99999982465</v>
      </c>
      <c r="D26" s="27">
        <f>SUMPRODUCT('Investing Model'!B13:F13,$B$17:$F$17)</f>
        <v>223750.000000158</v>
      </c>
      <c r="E26" s="27">
        <f>B26+C26-D26</f>
        <v>-2.1705636754631996E-7</v>
      </c>
      <c r="F26" s="21" t="s">
        <v>42</v>
      </c>
      <c r="G26" s="21">
        <v>0</v>
      </c>
    </row>
    <row r="27" spans="1:7" ht="18" customHeight="1" x14ac:dyDescent="0.3">
      <c r="A27" s="19">
        <v>5</v>
      </c>
      <c r="B27" s="29">
        <f>E26*(1+$B$9)</f>
        <v>-2.2356805857270955E-7</v>
      </c>
      <c r="C27" s="29">
        <f>SUMPRODUCT('Investing Model'!B21:F21,$B$17:$F$17)</f>
        <v>425125.00000030018</v>
      </c>
      <c r="D27" s="30"/>
      <c r="E27" s="30"/>
      <c r="F27" s="30"/>
      <c r="G27" s="30"/>
    </row>
    <row r="28" spans="1:7" ht="7.95" customHeight="1" x14ac:dyDescent="0.3"/>
    <row r="29" spans="1:7" ht="22.05" customHeight="1" thickBot="1" x14ac:dyDescent="0.35">
      <c r="A29" s="17" t="s">
        <v>43</v>
      </c>
      <c r="B29" s="17"/>
      <c r="C29" s="17"/>
      <c r="D29" s="17"/>
      <c r="E29" s="17"/>
      <c r="F29" s="17"/>
      <c r="G29" s="17"/>
    </row>
    <row r="30" spans="1:7" ht="25.95" customHeight="1" thickBot="1" x14ac:dyDescent="0.35">
      <c r="A30" s="31" t="s">
        <v>44</v>
      </c>
      <c r="B30" s="32">
        <f>B27+C27</f>
        <v>425125.0000000766</v>
      </c>
    </row>
    <row r="31" spans="1:7" ht="7.95" customHeight="1" x14ac:dyDescent="0.3"/>
    <row r="32" spans="1:7" ht="22.05" customHeight="1" x14ac:dyDescent="0.3">
      <c r="A32" s="17" t="s">
        <v>45</v>
      </c>
      <c r="B32" s="17"/>
      <c r="C32" s="17"/>
      <c r="D32" s="17"/>
      <c r="E32" s="17"/>
      <c r="F32" s="17"/>
      <c r="G32" s="17"/>
    </row>
    <row r="33" spans="1:2" ht="18" customHeight="1" x14ac:dyDescent="0.3">
      <c r="A33" s="35" t="s">
        <v>46</v>
      </c>
      <c r="B33" s="35" t="s">
        <v>60</v>
      </c>
    </row>
    <row r="34" spans="1:2" ht="18" customHeight="1" x14ac:dyDescent="0.3">
      <c r="A34" s="26" t="s">
        <v>48</v>
      </c>
      <c r="B34" s="26" t="s">
        <v>61</v>
      </c>
    </row>
    <row r="35" spans="1:2" ht="19.95" customHeight="1" x14ac:dyDescent="0.3">
      <c r="A35" s="37" t="s">
        <v>62</v>
      </c>
      <c r="B35" s="38" t="s">
        <v>63</v>
      </c>
    </row>
    <row r="36" spans="1:2" ht="18" customHeight="1" x14ac:dyDescent="0.3">
      <c r="A36" s="26" t="s">
        <v>52</v>
      </c>
      <c r="B36" s="26" t="s">
        <v>64</v>
      </c>
    </row>
    <row r="37" spans="1:2" ht="18" customHeight="1" x14ac:dyDescent="0.3">
      <c r="A37" s="35" t="s">
        <v>54</v>
      </c>
      <c r="B37" s="35" t="s">
        <v>55</v>
      </c>
    </row>
  </sheetData>
  <mergeCells count="8">
    <mergeCell ref="A29:G29"/>
    <mergeCell ref="A32:G32"/>
    <mergeCell ref="A1:G1"/>
    <mergeCell ref="A3:G3"/>
    <mergeCell ref="A7:G7"/>
    <mergeCell ref="A11:G11"/>
    <mergeCell ref="A15:G15"/>
    <mergeCell ref="A21:G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</vt:lpstr>
      <vt:lpstr>Investing Model</vt:lpstr>
      <vt:lpstr>Min Investment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Shakila Azad</dc:creator>
  <cp:lastModifiedBy>Shakila Azad</cp:lastModifiedBy>
  <dcterms:created xsi:type="dcterms:W3CDTF">2007-05-15T18:08:17Z</dcterms:created>
  <dcterms:modified xsi:type="dcterms:W3CDTF">2026-05-02T04:51:55Z</dcterms:modified>
</cp:coreProperties>
</file>