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MDM\Assignment 6\"/>
    </mc:Choice>
  </mc:AlternateContent>
  <xr:revisionPtr revIDLastSave="0" documentId="13_ncr:1_{179F3CB8-8F26-425A-843B-89E807B7634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odel" sheetId="2" r:id="rId1"/>
    <sheet name="Part 1. Worker scheduling " sheetId="3" r:id="rId2"/>
    <sheet name="Part 2. Worker scheduling " sheetId="4" r:id="rId3"/>
    <sheet name="Part 3 - Comparison" sheetId="5" r:id="rId4"/>
  </sheets>
  <definedNames>
    <definedName name="solver_adj" localSheetId="0" hidden="1">Model!$B$4:$B$10</definedName>
    <definedName name="solver_adj" localSheetId="2" hidden="1">'Part 2. Worker scheduling '!$B$4:$B$10</definedName>
    <definedName name="solver_cvg" localSheetId="0" hidden="1">0.0001</definedName>
    <definedName name="solver_cvg" localSheetId="2" hidden="1">0.0001</definedName>
    <definedName name="solver_drv" localSheetId="0" hidden="1">1</definedName>
    <definedName name="solver_drv" localSheetId="2" hidden="1">2</definedName>
    <definedName name="solver_eng" localSheetId="0" hidden="1">2</definedName>
    <definedName name="solver_eng" localSheetId="2" hidden="1">2</definedName>
    <definedName name="solver_est" localSheetId="0" hidden="1">1</definedName>
    <definedName name="solver_est" localSheetId="2" hidden="1">1</definedName>
    <definedName name="solver_itr" localSheetId="0" hidden="1">2147483647</definedName>
    <definedName name="solver_itr" localSheetId="2" hidden="1">2147483647</definedName>
    <definedName name="solver_lhs1" localSheetId="0" hidden="1">Model!$B$23:$H$23</definedName>
    <definedName name="solver_lhs1" localSheetId="2" hidden="1">'Part 2. Worker scheduling '!$B$23:$H$23</definedName>
    <definedName name="solver_lhs2" localSheetId="0" hidden="1">Model!$B$4:$B$10</definedName>
    <definedName name="solver_lhs2" localSheetId="2" hidden="1">'Part 2. Worker scheduling '!$B$4:$B$10</definedName>
    <definedName name="solver_mip" localSheetId="0" hidden="1">2147483647</definedName>
    <definedName name="solver_mip" localSheetId="2" hidden="1">2147483647</definedName>
    <definedName name="solver_mni" localSheetId="0" hidden="1">30</definedName>
    <definedName name="solver_mni" localSheetId="2" hidden="1">30</definedName>
    <definedName name="solver_mrt" localSheetId="0" hidden="1">0.075</definedName>
    <definedName name="solver_mrt" localSheetId="2" hidden="1">0.075</definedName>
    <definedName name="solver_msl" localSheetId="0" hidden="1">2</definedName>
    <definedName name="solver_msl" localSheetId="2" hidden="1">2</definedName>
    <definedName name="solver_neg" localSheetId="0" hidden="1">1</definedName>
    <definedName name="solver_neg" localSheetId="2" hidden="1">1</definedName>
    <definedName name="solver_nod" localSheetId="0" hidden="1">2147483647</definedName>
    <definedName name="solver_nod" localSheetId="2" hidden="1">2147483647</definedName>
    <definedName name="solver_num" localSheetId="0" hidden="1">2</definedName>
    <definedName name="solver_num" localSheetId="2" hidden="1">2</definedName>
    <definedName name="solver_nwt" localSheetId="0" hidden="1">1</definedName>
    <definedName name="solver_nwt" localSheetId="2" hidden="1">1</definedName>
    <definedName name="solver_opt" localSheetId="0" hidden="1">Model!$B$40</definedName>
    <definedName name="solver_opt" localSheetId="2" hidden="1">'Part 2. Worker scheduling '!$B$40</definedName>
    <definedName name="solver_pre" localSheetId="0" hidden="1">0.000001</definedName>
    <definedName name="solver_pre" localSheetId="2" hidden="1">0.000001</definedName>
    <definedName name="solver_rbv" localSheetId="0" hidden="1">1</definedName>
    <definedName name="solver_rbv" localSheetId="2" hidden="1">2</definedName>
    <definedName name="solver_rel1" localSheetId="0" hidden="1">3</definedName>
    <definedName name="solver_rel1" localSheetId="2" hidden="1">3</definedName>
    <definedName name="solver_rel2" localSheetId="0" hidden="1">4</definedName>
    <definedName name="solver_rel2" localSheetId="2" hidden="1">4</definedName>
    <definedName name="solver_rhs1" localSheetId="0" hidden="1">Model!$B$25:$H$25</definedName>
    <definedName name="solver_rhs1" localSheetId="2" hidden="1">'Part 2. Worker scheduling '!$B$25:$H$25</definedName>
    <definedName name="solver_rhs2" localSheetId="0" hidden="1">"integer"</definedName>
    <definedName name="solver_rhs2" localSheetId="2" hidden="1">"integer"</definedName>
    <definedName name="solver_rlx" localSheetId="0" hidden="1">2</definedName>
    <definedName name="solver_rlx" localSheetId="2" hidden="1">2</definedName>
    <definedName name="solver_rsd" localSheetId="0" hidden="1">0</definedName>
    <definedName name="solver_rsd" localSheetId="2" hidden="1">0</definedName>
    <definedName name="solver_scl" localSheetId="0" hidden="1">1</definedName>
    <definedName name="solver_scl" localSheetId="2" hidden="1">2</definedName>
    <definedName name="solver_sho" localSheetId="0" hidden="1">2</definedName>
    <definedName name="solver_sho" localSheetId="2" hidden="1">2</definedName>
    <definedName name="solver_ssz" localSheetId="0" hidden="1">100</definedName>
    <definedName name="solver_ssz" localSheetId="2" hidden="1">100</definedName>
    <definedName name="solver_tim" localSheetId="0" hidden="1">2147483647</definedName>
    <definedName name="solver_tim" localSheetId="2" hidden="1">2147483647</definedName>
    <definedName name="solver_tol" localSheetId="0" hidden="1">0</definedName>
    <definedName name="solver_tol" localSheetId="2" hidden="1">0</definedName>
    <definedName name="solver_typ" localSheetId="0" hidden="1">2</definedName>
    <definedName name="solver_typ" localSheetId="2" hidden="1">2</definedName>
    <definedName name="solver_val" localSheetId="0" hidden="1">0</definedName>
    <definedName name="solver_val" localSheetId="2" hidden="1">0</definedName>
    <definedName name="solver_ver" localSheetId="0" hidden="1">3</definedName>
    <definedName name="solver_ver" localSheetId="2" hidden="1">3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5" l="1"/>
  <c r="D13" i="5"/>
  <c r="B35" i="4"/>
  <c r="C31" i="4"/>
  <c r="E17" i="5"/>
  <c r="F17" i="5"/>
  <c r="B22" i="5" s="1"/>
  <c r="C17" i="5"/>
  <c r="B17" i="5"/>
  <c r="F16" i="5"/>
  <c r="E16" i="5"/>
  <c r="D16" i="5"/>
  <c r="C16" i="5"/>
  <c r="F15" i="5"/>
  <c r="E15" i="5"/>
  <c r="D15" i="5"/>
  <c r="C15" i="5"/>
  <c r="F14" i="5"/>
  <c r="E14" i="5"/>
  <c r="D14" i="5"/>
  <c r="C14" i="5"/>
  <c r="F13" i="5"/>
  <c r="C13" i="5"/>
  <c r="F12" i="5"/>
  <c r="E12" i="5"/>
  <c r="D12" i="5"/>
  <c r="C12" i="5"/>
  <c r="F11" i="5"/>
  <c r="E11" i="5"/>
  <c r="D11" i="5"/>
  <c r="C11" i="5"/>
  <c r="F10" i="5"/>
  <c r="E10" i="5"/>
  <c r="D10" i="5"/>
  <c r="C10" i="5"/>
  <c r="B33" i="4"/>
  <c r="E31" i="4"/>
  <c r="D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1" i="4"/>
  <c r="C21" i="4"/>
  <c r="E20" i="4"/>
  <c r="D20" i="4"/>
  <c r="C20" i="4"/>
  <c r="E19" i="4"/>
  <c r="D19" i="4"/>
  <c r="C19" i="4"/>
  <c r="E18" i="4"/>
  <c r="D18" i="4"/>
  <c r="C18" i="4"/>
  <c r="E17" i="4"/>
  <c r="D17" i="4"/>
  <c r="C17" i="4"/>
  <c r="E16" i="4"/>
  <c r="D16" i="4"/>
  <c r="C16" i="4"/>
  <c r="E15" i="4"/>
  <c r="D15" i="4"/>
  <c r="C15" i="4"/>
  <c r="E14" i="4"/>
  <c r="D14" i="4"/>
  <c r="C14" i="4"/>
  <c r="B25" i="3"/>
  <c r="B24" i="3"/>
  <c r="B23" i="3"/>
  <c r="B22" i="3"/>
  <c r="B21" i="3"/>
  <c r="E13" i="3"/>
  <c r="E12" i="3"/>
  <c r="E11" i="3"/>
  <c r="E10" i="3"/>
  <c r="E9" i="3"/>
  <c r="E8" i="3"/>
  <c r="E7" i="3"/>
  <c r="B38" i="2"/>
  <c r="B40" i="2" s="1" a="1"/>
  <c r="B40" i="2" s="1"/>
  <c r="H38" i="2"/>
  <c r="G38" i="2"/>
  <c r="F38" i="2"/>
  <c r="E38" i="2"/>
  <c r="D38" i="2"/>
  <c r="C38" i="2"/>
  <c r="B21" i="5" l="1"/>
  <c r="B20" i="5"/>
  <c r="B23" i="5"/>
  <c r="H20" i="2"/>
  <c r="E20" i="2"/>
  <c r="D20" i="2"/>
  <c r="C20" i="2"/>
  <c r="B20" i="2"/>
  <c r="H19" i="2"/>
  <c r="G19" i="2"/>
  <c r="D19" i="2"/>
  <c r="C19" i="2"/>
  <c r="B19" i="2"/>
  <c r="H18" i="2"/>
  <c r="G18" i="2"/>
  <c r="F18" i="2"/>
  <c r="C18" i="2"/>
  <c r="B18" i="2"/>
  <c r="H17" i="2"/>
  <c r="G17" i="2"/>
  <c r="F17" i="2"/>
  <c r="E17" i="2"/>
  <c r="B17" i="2"/>
  <c r="H16" i="2"/>
  <c r="G16" i="2"/>
  <c r="F16" i="2"/>
  <c r="E16" i="2"/>
  <c r="D16" i="2"/>
  <c r="G15" i="2"/>
  <c r="F15" i="2"/>
  <c r="E15" i="2"/>
  <c r="E23" i="2" s="1"/>
  <c r="D15" i="2"/>
  <c r="C15" i="2"/>
  <c r="F14" i="2"/>
  <c r="E14" i="2"/>
  <c r="D14" i="2"/>
  <c r="C14" i="2"/>
  <c r="B14" i="2"/>
  <c r="B28" i="2"/>
  <c r="G23" i="2" l="1"/>
  <c r="F23" i="2"/>
  <c r="H23" i="2"/>
  <c r="B23" i="2"/>
  <c r="D23" i="2"/>
  <c r="C2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<sst xmlns="http://schemas.openxmlformats.org/spreadsheetml/2006/main" count="167" uniqueCount="136">
  <si>
    <t>Decision variables: number of employees starting their five-day shift on various days</t>
  </si>
  <si>
    <t>Mon</t>
  </si>
  <si>
    <t>Tue</t>
  </si>
  <si>
    <t>Wed</t>
  </si>
  <si>
    <t>Thu</t>
  </si>
  <si>
    <t>Fri</t>
  </si>
  <si>
    <t>Sat</t>
  </si>
  <si>
    <t>Sun</t>
  </si>
  <si>
    <t>Result of decisions: number of employees working on various days (along top) who started their shift on various days (along side)</t>
  </si>
  <si>
    <t>Constraint on worker availabilities</t>
  </si>
  <si>
    <t>Employees available</t>
  </si>
  <si>
    <t>Employees required</t>
  </si>
  <si>
    <t>Total employees</t>
  </si>
  <si>
    <t>Worker scheduling model</t>
  </si>
  <si>
    <t>Workers</t>
  </si>
  <si>
    <t>Day</t>
  </si>
  <si>
    <t>Monday (x₁)</t>
  </si>
  <si>
    <t>Tuesday (x₂)</t>
  </si>
  <si>
    <t>Wednesday (x₃)</t>
  </si>
  <si>
    <t>Thursday (x₄)</t>
  </si>
  <si>
    <t>Friday (x₅)</t>
  </si>
  <si>
    <t>Saturday (x₆)</t>
  </si>
  <si>
    <t>Sunday (x₇)</t>
  </si>
  <si>
    <t>Monday</t>
  </si>
  <si>
    <t>Tuesday</t>
  </si>
  <si>
    <t>Wednesday</t>
  </si>
  <si>
    <t>Thursday</t>
  </si>
  <si>
    <t>Friday</t>
  </si>
  <si>
    <t>Saturday</t>
  </si>
  <si>
    <t>Sunday</t>
  </si>
  <si>
    <t>Required</t>
  </si>
  <si>
    <t>Slack</t>
  </si>
  <si>
    <t>Satisfied?</t>
  </si>
  <si>
    <t>All constraints satisfied?</t>
  </si>
  <si>
    <t>Our Solver Solution</t>
  </si>
  <si>
    <t>Variable</t>
  </si>
  <si>
    <t>x₁</t>
  </si>
  <si>
    <t>x₂</t>
  </si>
  <si>
    <t>x₃</t>
  </si>
  <si>
    <t>x₄</t>
  </si>
  <si>
    <t>x₅</t>
  </si>
  <si>
    <t>x₆</t>
  </si>
  <si>
    <t>x₇</t>
  </si>
  <si>
    <t>Value</t>
  </si>
  <si>
    <t>TOTAL</t>
  </si>
  <si>
    <t>Textbook Solution</t>
  </si>
  <si>
    <t>CONCLUSION</t>
  </si>
  <si>
    <t>Weekday hourly wage (Mon–Fri)</t>
  </si>
  <si>
    <t>Weekend hourly wage (Sat–Sun)</t>
  </si>
  <si>
    <t>Minimize Z = weekly payroll</t>
  </si>
  <si>
    <t>Starting Day</t>
  </si>
  <si>
    <t>Days Worked</t>
  </si>
  <si>
    <t>Weekday Days</t>
  </si>
  <si>
    <t>Weekend Days</t>
  </si>
  <si>
    <t>Weekly Cost / Worker</t>
  </si>
  <si>
    <t>Subtotal Cost</t>
  </si>
  <si>
    <t>Available</t>
  </si>
  <si>
    <t>BACKGROUND</t>
  </si>
  <si>
    <t>Cost / Worker</t>
  </si>
  <si>
    <t>Textbook Subtotal</t>
  </si>
  <si>
    <t>Our Subtotal</t>
  </si>
  <si>
    <t>Objective to minimize</t>
  </si>
  <si>
    <t>Payroll parameters</t>
  </si>
  <si>
    <t>Hourly wage – weekday (Mon–Fri)</t>
  </si>
  <si>
    <t>Hourly wage – weekend (Sat–Sun)</t>
  </si>
  <si>
    <t>Hours worked per day</t>
  </si>
  <si>
    <t>Weekly cost per worker by starting day</t>
  </si>
  <si>
    <t>Weekday days in shift</t>
  </si>
  <si>
    <t>Weekend days in shift</t>
  </si>
  <si>
    <t>Cost per worker ($/week)</t>
  </si>
  <si>
    <t>PART 1 — WAGE STRUCTURE &amp; COST PER STARTING DAY</t>
  </si>
  <si>
    <t>Workers earn $10/hr on weekdays (Mon–Fri) and $15/hr on weekends (Sat–Sun), 8 hrs/day for 5 consecutive days. Weekend days cost more, so the weekly wage bill depends on which day the shift starts.</t>
  </si>
  <si>
    <t>Mon – Fri</t>
  </si>
  <si>
    <t>Tue – Sat</t>
  </si>
  <si>
    <t>Wed – Sun</t>
  </si>
  <si>
    <t>Thu – Mon</t>
  </si>
  <si>
    <t>Fri – Tue</t>
  </si>
  <si>
    <t>Sat – Wed</t>
  </si>
  <si>
    <t>Sun – Thu</t>
  </si>
  <si>
    <t>PART 2 — OBJECTIVE FUNCTION</t>
  </si>
  <si>
    <t>Multiply each starting-day cost by the workers hired on that day and sum across all 7 days:</t>
  </si>
  <si>
    <t>Minimize  Z  =  400x₁  +  440x₂  +  480x₃  +  480x₄  +  480x₅  +  480x₆  +  440x₇</t>
  </si>
  <si>
    <t>PART 3 — MODEL PARAMETERS</t>
  </si>
  <si>
    <t>Daily cost per employee — weekday</t>
  </si>
  <si>
    <t>Daily cost per employee — weekend</t>
  </si>
  <si>
    <t>Setting</t>
  </si>
  <si>
    <t>Set Objective</t>
  </si>
  <si>
    <t>Model!$B$40  (Minimize Z = weekly payroll)</t>
  </si>
  <si>
    <t>Changing Variable Cells</t>
  </si>
  <si>
    <t>Model!$B$4:$B$10  (workers starting each day)</t>
  </si>
  <si>
    <t>Constraint 1</t>
  </si>
  <si>
    <t>Model!$B$23:$H$23  ≥  Model!$B$25:$H$25  (daily coverage)</t>
  </si>
  <si>
    <t>Constraint 2</t>
  </si>
  <si>
    <t>Model!$B$4:$B$10  =  integer  (whole employees only)</t>
  </si>
  <si>
    <t>Constraint 3</t>
  </si>
  <si>
    <t>Model!$B$4:$B$10  ≥  0  (non-negativity)</t>
  </si>
  <si>
    <t>Solving Method</t>
  </si>
  <si>
    <t>Simplex LP  |  Integer Optimality = 0%</t>
  </si>
  <si>
    <t>Workers Hired</t>
  </si>
  <si>
    <t>Cost / Worker / Week</t>
  </si>
  <si>
    <t>All Days</t>
  </si>
  <si>
    <t>—</t>
  </si>
  <si>
    <t>OPTIMAL WEEKLY PAYROLL</t>
  </si>
  <si>
    <t>Original problem objective: minimize total employees hired → Textbook optimal = 23 workers  (Mon=2, Tue=3, Wed=3, Thu=7, Fri=0, Sat=4, Sun=4)</t>
  </si>
  <si>
    <t>Modified problem objective: minimize weekly payroll cost at $10/hr weekdays, $15/hr weekends, 8 hrs/day.</t>
  </si>
  <si>
    <t>Question: does the same 23-worker schedule remain optimal under the new payroll objective?</t>
  </si>
  <si>
    <t>PART 1 — SIDE-BY-SIDE SOLUTION COMPARISON</t>
  </si>
  <si>
    <t>x₁ — Monday</t>
  </si>
  <si>
    <t>x₂ — Tuesday</t>
  </si>
  <si>
    <t>x₃ — Wednesday</t>
  </si>
  <si>
    <t>x₄ — Thursday</t>
  </si>
  <si>
    <t>x₅ — Friday</t>
  </si>
  <si>
    <t>x₆ — Saturday</t>
  </si>
  <si>
    <t>x₇ — Sunday</t>
  </si>
  <si>
    <t>TOTAL WORKERS</t>
  </si>
  <si>
    <t>TOTAL PAYROLL</t>
  </si>
  <si>
    <t>PART 2 — ANSWER</t>
  </si>
  <si>
    <t>Is the textbook’s solution still optimal under the new payroll objective?</t>
  </si>
  <si>
    <t>Textbook weekly payroll:</t>
  </si>
  <si>
    <t>Our Solver weekly payroll:</t>
  </si>
  <si>
    <t>Savings vs. textbook:</t>
  </si>
  <si>
    <t>PART 3 — EXPLANATION</t>
  </si>
  <si>
    <t>Both solutions hire exactly 23 workers, so they are tied on the original objective (minimize headcount).</t>
  </si>
  <si>
    <t>Under the new payroll objective, the starting day matters because of differential weekend wages:</t>
  </si>
  <si>
    <t xml:space="preserve">  •  Mon starters ($400/wk) — cheapest: 5 weekday days, 0 weekend days.</t>
  </si>
  <si>
    <t xml:space="preserve">  •  Tue &amp; Sun starters ($440/wk) — 4 weekday + 1 weekend day.</t>
  </si>
  <si>
    <t xml:space="preserve">  •  Wed / Thu / Fri / Sat starters ($480/wk) — most expensive: 3 weekday + 2 weekend days.</t>
  </si>
  <si>
    <t>The textbook puts 4 workers on Sat-start + 4 on Sun-start = 8 workers in the $480–$440 cost band.</t>
  </si>
  <si>
    <t>Our Solver solution avoids expensive Sat/Wed/Sun starts, favouring cheaper Mon/Tue shifts instead.</t>
  </si>
  <si>
    <t>The previous optimal solution is NOT optimal for the modified problem. While both schedules employ 23 workers, the new Solver solution reduces weekly payroll by $320 — from $10,600 to $10,280 — by strategically assigning more workers to cheaper weekday-heavy starting days.</t>
  </si>
  <si>
    <t>Workers Scheduling</t>
  </si>
  <si>
    <t xml:space="preserve">Worker scheduling model  </t>
  </si>
  <si>
    <t xml:space="preserve"> SOLVER CONFIGURATION</t>
  </si>
  <si>
    <t xml:space="preserve"> OPTIMAL SOLUTION</t>
  </si>
  <si>
    <t>COVERAGE CONSTRAINT VERIFICATION</t>
  </si>
  <si>
    <t xml:space="preserve">Q3 — Is the Previous Optimal Solution Still Optimal?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</si>
</sst>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37562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9DC3E6"/>
      </bottom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 style="thin">
        <color rgb="FF9DC3E6"/>
      </left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/>
      <right/>
      <top style="medium">
        <color rgb="FFF4B942"/>
      </top>
      <bottom style="medium">
        <color rgb="FFF4B942"/>
      </bottom>
      <diagonal/>
    </border>
    <border>
      <left style="medium">
        <color rgb="FFF4B942"/>
      </left>
      <right/>
      <top style="medium">
        <color rgb="FFF4B942"/>
      </top>
      <bottom style="medium">
        <color rgb="FFF4B942"/>
      </bottom>
      <diagonal/>
    </border>
    <border>
      <left/>
      <right style="medium">
        <color rgb="FFF4B942"/>
      </right>
      <top style="medium">
        <color rgb="FFF4B942"/>
      </top>
      <bottom style="medium">
        <color rgb="FFF4B942"/>
      </bottom>
      <diagonal/>
    </border>
    <border>
      <left style="thin">
        <color rgb="FF9DC3E6"/>
      </left>
      <right/>
      <top/>
      <bottom style="medium">
        <color rgb="FFF4B942"/>
      </bottom>
      <diagonal/>
    </border>
    <border>
      <left/>
      <right/>
      <top/>
      <bottom style="medium">
        <color rgb="FFF4B942"/>
      </bottom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3" fillId="0" borderId="0" xfId="1" applyFont="1"/>
    <xf numFmtId="0" fontId="3" fillId="0" borderId="0" xfId="1" applyFont="1" applyAlignment="1">
      <alignment horizontal="left"/>
    </xf>
    <xf numFmtId="0" fontId="2" fillId="0" borderId="0" xfId="1" applyFont="1" applyAlignment="1">
      <alignment horizontal="left"/>
    </xf>
    <xf numFmtId="1" fontId="3" fillId="0" borderId="0" xfId="1" applyNumberFormat="1" applyFont="1"/>
    <xf numFmtId="0" fontId="3" fillId="0" borderId="0" xfId="1" applyFont="1" applyAlignment="1">
      <alignment horizontal="right"/>
    </xf>
    <xf numFmtId="1" fontId="3" fillId="0" borderId="1" xfId="1" applyNumberFormat="1" applyFont="1" applyBorder="1"/>
    <xf numFmtId="1" fontId="3" fillId="0" borderId="2" xfId="1" applyNumberFormat="1" applyFont="1" applyBorder="1"/>
    <xf numFmtId="1" fontId="3" fillId="0" borderId="3" xfId="1" applyNumberFormat="1" applyFont="1" applyBorder="1"/>
    <xf numFmtId="1" fontId="3" fillId="0" borderId="4" xfId="1" applyNumberFormat="1" applyFont="1" applyBorder="1"/>
    <xf numFmtId="1" fontId="3" fillId="0" borderId="5" xfId="1" applyNumberFormat="1" applyFont="1" applyBorder="1"/>
    <xf numFmtId="1" fontId="3" fillId="0" borderId="6" xfId="1" applyNumberFormat="1" applyFont="1" applyBorder="1"/>
    <xf numFmtId="1" fontId="3" fillId="0" borderId="7" xfId="1" applyNumberFormat="1" applyFont="1" applyBorder="1"/>
    <xf numFmtId="1" fontId="3" fillId="0" borderId="8" xfId="1" applyNumberFormat="1" applyFont="1" applyBorder="1"/>
    <xf numFmtId="0" fontId="3" fillId="2" borderId="0" xfId="1" applyFont="1" applyFill="1"/>
    <xf numFmtId="0" fontId="10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0" fillId="6" borderId="0" xfId="0" applyFill="1"/>
    <xf numFmtId="0" fontId="0" fillId="7" borderId="10" xfId="0" applyFill="1" applyBorder="1"/>
    <xf numFmtId="0" fontId="0" fillId="6" borderId="10" xfId="0" applyFill="1" applyBorder="1"/>
    <xf numFmtId="0" fontId="7" fillId="4" borderId="12" xfId="0" applyFont="1" applyFill="1" applyBorder="1" applyAlignment="1">
      <alignment horizontal="center"/>
    </xf>
    <xf numFmtId="0" fontId="0" fillId="7" borderId="12" xfId="0" applyFill="1" applyBorder="1"/>
    <xf numFmtId="0" fontId="0" fillId="7" borderId="12" xfId="0" applyFill="1" applyBorder="1" applyAlignment="1">
      <alignment horizontal="center"/>
    </xf>
    <xf numFmtId="164" fontId="0" fillId="7" borderId="12" xfId="0" applyNumberFormat="1" applyFill="1" applyBorder="1" applyAlignment="1">
      <alignment horizontal="center"/>
    </xf>
    <xf numFmtId="0" fontId="0" fillId="6" borderId="12" xfId="0" applyFill="1" applyBorder="1"/>
    <xf numFmtId="0" fontId="0" fillId="6" borderId="12" xfId="0" applyFill="1" applyBorder="1" applyAlignment="1">
      <alignment horizontal="center"/>
    </xf>
    <xf numFmtId="164" fontId="0" fillId="6" borderId="12" xfId="0" applyNumberFormat="1" applyFill="1" applyBorder="1" applyAlignment="1">
      <alignment horizontal="center"/>
    </xf>
    <xf numFmtId="0" fontId="0" fillId="0" borderId="14" xfId="0" applyBorder="1"/>
    <xf numFmtId="0" fontId="11" fillId="8" borderId="15" xfId="0" applyFont="1" applyFill="1" applyBorder="1" applyAlignment="1">
      <alignment horizontal="center"/>
    </xf>
    <xf numFmtId="0" fontId="0" fillId="0" borderId="16" xfId="0" applyBorder="1"/>
    <xf numFmtId="164" fontId="12" fillId="7" borderId="13" xfId="0" applyNumberFormat="1" applyFont="1" applyFill="1" applyBorder="1" applyAlignment="1">
      <alignment horizontal="center"/>
    </xf>
    <xf numFmtId="164" fontId="12" fillId="6" borderId="13" xfId="0" applyNumberFormat="1" applyFont="1" applyFill="1" applyBorder="1" applyAlignment="1">
      <alignment horizontal="center"/>
    </xf>
    <xf numFmtId="0" fontId="12" fillId="7" borderId="13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8" borderId="12" xfId="0" applyFont="1" applyFill="1" applyBorder="1"/>
    <xf numFmtId="0" fontId="0" fillId="8" borderId="12" xfId="0" applyFill="1" applyBorder="1" applyAlignment="1">
      <alignment horizontal="center"/>
    </xf>
    <xf numFmtId="164" fontId="4" fillId="8" borderId="12" xfId="0" applyNumberFormat="1" applyFont="1" applyFill="1" applyBorder="1" applyAlignment="1">
      <alignment horizontal="center"/>
    </xf>
    <xf numFmtId="0" fontId="0" fillId="0" borderId="12" xfId="0" applyBorder="1"/>
    <xf numFmtId="0" fontId="7" fillId="3" borderId="12" xfId="0" applyFont="1" applyFill="1" applyBorder="1" applyAlignment="1">
      <alignment horizontal="center"/>
    </xf>
    <xf numFmtId="164" fontId="6" fillId="3" borderId="12" xfId="0" applyNumberFormat="1" applyFont="1" applyFill="1" applyBorder="1" applyAlignment="1">
      <alignment horizontal="center"/>
    </xf>
    <xf numFmtId="0" fontId="12" fillId="7" borderId="12" xfId="0" applyFont="1" applyFill="1" applyBorder="1" applyAlignment="1">
      <alignment horizontal="center"/>
    </xf>
    <xf numFmtId="0" fontId="12" fillId="6" borderId="12" xfId="0" applyFont="1" applyFill="1" applyBorder="1" applyAlignment="1">
      <alignment horizontal="center"/>
    </xf>
    <xf numFmtId="0" fontId="4" fillId="6" borderId="12" xfId="0" applyFont="1" applyFill="1" applyBorder="1"/>
    <xf numFmtId="0" fontId="4" fillId="6" borderId="12" xfId="0" applyFont="1" applyFill="1" applyBorder="1" applyAlignment="1">
      <alignment horizontal="center"/>
    </xf>
    <xf numFmtId="164" fontId="13" fillId="7" borderId="12" xfId="0" applyNumberFormat="1" applyFont="1" applyFill="1" applyBorder="1" applyAlignment="1">
      <alignment horizontal="center"/>
    </xf>
    <xf numFmtId="164" fontId="8" fillId="6" borderId="12" xfId="0" applyNumberFormat="1" applyFont="1" applyFill="1" applyBorder="1" applyAlignment="1">
      <alignment horizontal="center"/>
    </xf>
    <xf numFmtId="164" fontId="4" fillId="7" borderId="12" xfId="0" applyNumberFormat="1" applyFont="1" applyFill="1" applyBorder="1" applyAlignment="1">
      <alignment horizontal="center"/>
    </xf>
    <xf numFmtId="0" fontId="7" fillId="3" borderId="0" xfId="1" applyFont="1" applyFill="1" applyAlignment="1">
      <alignment horizontal="left"/>
    </xf>
    <xf numFmtId="0" fontId="7" fillId="3" borderId="0" xfId="1" applyFont="1" applyFill="1"/>
    <xf numFmtId="0" fontId="2" fillId="8" borderId="0" xfId="1" applyFont="1" applyFill="1"/>
    <xf numFmtId="0" fontId="7" fillId="4" borderId="12" xfId="1" applyFont="1" applyFill="1" applyBorder="1" applyAlignment="1">
      <alignment horizontal="left"/>
    </xf>
    <xf numFmtId="0" fontId="7" fillId="4" borderId="12" xfId="1" applyFont="1" applyFill="1" applyBorder="1" applyAlignment="1">
      <alignment horizontal="center"/>
    </xf>
    <xf numFmtId="0" fontId="3" fillId="6" borderId="12" xfId="1" applyFont="1" applyFill="1" applyBorder="1" applyAlignment="1">
      <alignment horizontal="left"/>
    </xf>
    <xf numFmtId="0" fontId="3" fillId="6" borderId="12" xfId="1" applyFont="1" applyFill="1" applyBorder="1"/>
    <xf numFmtId="0" fontId="3" fillId="7" borderId="12" xfId="1" applyFont="1" applyFill="1" applyBorder="1" applyAlignment="1">
      <alignment horizontal="left"/>
    </xf>
    <xf numFmtId="0" fontId="3" fillId="7" borderId="12" xfId="1" applyFont="1" applyFill="1" applyBorder="1"/>
    <xf numFmtId="0" fontId="2" fillId="6" borderId="12" xfId="1" applyFont="1" applyFill="1" applyBorder="1" applyAlignment="1">
      <alignment horizontal="left"/>
    </xf>
    <xf numFmtId="164" fontId="3" fillId="6" borderId="12" xfId="1" applyNumberFormat="1" applyFont="1" applyFill="1" applyBorder="1"/>
    <xf numFmtId="0" fontId="2" fillId="8" borderId="12" xfId="1" applyFont="1" applyFill="1" applyBorder="1" applyAlignment="1">
      <alignment horizontal="left"/>
    </xf>
    <xf numFmtId="164" fontId="14" fillId="8" borderId="12" xfId="1" applyNumberFormat="1" applyFont="1" applyFill="1" applyBorder="1"/>
    <xf numFmtId="0" fontId="9" fillId="6" borderId="0" xfId="1" applyFont="1" applyFill="1" applyAlignment="1">
      <alignment horizontal="left"/>
    </xf>
    <xf numFmtId="164" fontId="5" fillId="6" borderId="0" xfId="1" applyNumberFormat="1" applyFont="1" applyFill="1"/>
    <xf numFmtId="0" fontId="9" fillId="7" borderId="0" xfId="1" applyFont="1" applyFill="1" applyAlignment="1">
      <alignment horizontal="left"/>
    </xf>
    <xf numFmtId="164" fontId="5" fillId="7" borderId="0" xfId="1" applyNumberFormat="1" applyFont="1" applyFill="1"/>
    <xf numFmtId="0" fontId="5" fillId="6" borderId="0" xfId="1" applyFont="1" applyFill="1"/>
    <xf numFmtId="0" fontId="7" fillId="4" borderId="9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0" fillId="6" borderId="11" xfId="0" applyFill="1" applyBorder="1"/>
    <xf numFmtId="0" fontId="0" fillId="6" borderId="0" xfId="0" applyFill="1"/>
    <xf numFmtId="0" fontId="0" fillId="7" borderId="11" xfId="0" applyFill="1" applyBorder="1"/>
    <xf numFmtId="0" fontId="0" fillId="7" borderId="0" xfId="0" applyFill="1"/>
    <xf numFmtId="0" fontId="10" fillId="3" borderId="0" xfId="0" applyFont="1" applyFill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4" fillId="8" borderId="15" xfId="0" applyFont="1" applyFill="1" applyBorder="1" applyAlignment="1">
      <alignment wrapText="1"/>
    </xf>
    <xf numFmtId="0" fontId="4" fillId="8" borderId="14" xfId="0" applyFont="1" applyFill="1" applyBorder="1"/>
    <xf numFmtId="0" fontId="4" fillId="8" borderId="16" xfId="0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92" row="4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9725EE1-05EC-4B70-AF5F-56FAC7B70D24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e0b3e896-b39c-4ad7-9998-0522eb1d5113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5BE6437-AB3A-4814-B6B9-9FB822572179}">
  <we:reference id="wa200009486" version="1.0.1.6" store="en-US" storeType="OMEX"/>
  <we:alternateReferences>
    <we:reference id="wa200009486" version="1.0.1.6" store="wa20000948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_xldudf_SOLVER_BASIN_HOPPING</we:customFunctionIds>
        <we:customFunctionIds>_xldudf_SOLVER_BRUTE</we:customFunctionIds>
        <we:customFunctionIds>_xldudf_SOLVER_CA_MINIMIZE</we:customFunctionIds>
        <we:customFunctionIds>_xldudf_SOLVER_CA_QUAD_PROG</we:customFunctionIds>
        <we:customFunctionIds>_xldudf_SOLVER_CA_ROOT</we:customFunctionIds>
        <we:customFunctionIds>_xldudf_SOLVER_DIFF_EVOLUTION</we:customFunctionIds>
        <we:customFunctionIds>_xldudf_SOLVER_DUAL_ANNEALING</we:customFunctionIds>
        <we:customFunctionIds>_xldudf_SOLVER_FIXED_POINT</we:customFunctionIds>
        <we:customFunctionIds>_xldudf_SOLVER_LINEAR_ASSIGNMENT</we:customFunctionIds>
        <we:customFunctionIds>_xldudf_SOLVER_LINEAR_PROG</we:customFunctionIds>
        <we:customFunctionIds>_xldudf_SOLVER_MILP</we:customFunctionIds>
        <we:customFunctionIds>_xldudf_SOLVER_MINIMIZE</we:customFunctionIds>
        <we:customFunctionIds>_xldudf_SOLVER_MINIMIZE_SCALAR</we:customFunctionIds>
        <we:customFunctionIds>_xldudf_SOLVER_QUAD_ASSIGN</we:customFunctionIds>
        <we:customFunctionIds>_xldudf_SOLVER_ROOT</we:customFunctionIds>
        <we:customFunctionIds>_xldudf_SOLVER_ROOT_SCALAR</we:customFunctionIds>
        <we:customFunctionIds>_xldudf_SOLVER_SHGO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40"/>
  <sheetViews>
    <sheetView workbookViewId="0">
      <selection activeCell="L28" sqref="L28"/>
    </sheetView>
  </sheetViews>
  <sheetFormatPr defaultRowHeight="14.4" x14ac:dyDescent="0.3"/>
  <cols>
    <col min="1" max="1" width="79" style="2" customWidth="1"/>
    <col min="2" max="251" width="9.109375" style="1"/>
    <col min="252" max="252" width="20.6640625" style="1" customWidth="1"/>
    <col min="253" max="260" width="9.109375" style="1"/>
    <col min="261" max="261" width="20.6640625" style="1" bestFit="1" customWidth="1"/>
    <col min="262" max="507" width="9.109375" style="1"/>
    <col min="508" max="508" width="20.6640625" style="1" customWidth="1"/>
    <col min="509" max="516" width="9.109375" style="1"/>
    <col min="517" max="517" width="20.6640625" style="1" bestFit="1" customWidth="1"/>
    <col min="518" max="763" width="9.109375" style="1"/>
    <col min="764" max="764" width="20.6640625" style="1" customWidth="1"/>
    <col min="765" max="772" width="9.109375" style="1"/>
    <col min="773" max="773" width="20.6640625" style="1" bestFit="1" customWidth="1"/>
    <col min="774" max="1019" width="9.109375" style="1"/>
    <col min="1020" max="1020" width="20.6640625" style="1" customWidth="1"/>
    <col min="1021" max="1028" width="9.109375" style="1"/>
    <col min="1029" max="1029" width="20.6640625" style="1" bestFit="1" customWidth="1"/>
    <col min="1030" max="1275" width="9.109375" style="1"/>
    <col min="1276" max="1276" width="20.6640625" style="1" customWidth="1"/>
    <col min="1277" max="1284" width="9.109375" style="1"/>
    <col min="1285" max="1285" width="20.6640625" style="1" bestFit="1" customWidth="1"/>
    <col min="1286" max="1531" width="9.109375" style="1"/>
    <col min="1532" max="1532" width="20.6640625" style="1" customWidth="1"/>
    <col min="1533" max="1540" width="9.109375" style="1"/>
    <col min="1541" max="1541" width="20.6640625" style="1" bestFit="1" customWidth="1"/>
    <col min="1542" max="1787" width="9.109375" style="1"/>
    <col min="1788" max="1788" width="20.6640625" style="1" customWidth="1"/>
    <col min="1789" max="1796" width="9.109375" style="1"/>
    <col min="1797" max="1797" width="20.6640625" style="1" bestFit="1" customWidth="1"/>
    <col min="1798" max="2043" width="9.109375" style="1"/>
    <col min="2044" max="2044" width="20.6640625" style="1" customWidth="1"/>
    <col min="2045" max="2052" width="9.109375" style="1"/>
    <col min="2053" max="2053" width="20.6640625" style="1" bestFit="1" customWidth="1"/>
    <col min="2054" max="2299" width="9.109375" style="1"/>
    <col min="2300" max="2300" width="20.6640625" style="1" customWidth="1"/>
    <col min="2301" max="2308" width="9.109375" style="1"/>
    <col min="2309" max="2309" width="20.6640625" style="1" bestFit="1" customWidth="1"/>
    <col min="2310" max="2555" width="9.109375" style="1"/>
    <col min="2556" max="2556" width="20.6640625" style="1" customWidth="1"/>
    <col min="2557" max="2564" width="9.109375" style="1"/>
    <col min="2565" max="2565" width="20.6640625" style="1" bestFit="1" customWidth="1"/>
    <col min="2566" max="2811" width="9.109375" style="1"/>
    <col min="2812" max="2812" width="20.6640625" style="1" customWidth="1"/>
    <col min="2813" max="2820" width="9.109375" style="1"/>
    <col min="2821" max="2821" width="20.6640625" style="1" bestFit="1" customWidth="1"/>
    <col min="2822" max="3067" width="9.109375" style="1"/>
    <col min="3068" max="3068" width="20.6640625" style="1" customWidth="1"/>
    <col min="3069" max="3076" width="9.109375" style="1"/>
    <col min="3077" max="3077" width="20.6640625" style="1" bestFit="1" customWidth="1"/>
    <col min="3078" max="3323" width="9.109375" style="1"/>
    <col min="3324" max="3324" width="20.6640625" style="1" customWidth="1"/>
    <col min="3325" max="3332" width="9.109375" style="1"/>
    <col min="3333" max="3333" width="20.6640625" style="1" bestFit="1" customWidth="1"/>
    <col min="3334" max="3579" width="9.109375" style="1"/>
    <col min="3580" max="3580" width="20.6640625" style="1" customWidth="1"/>
    <col min="3581" max="3588" width="9.109375" style="1"/>
    <col min="3589" max="3589" width="20.6640625" style="1" bestFit="1" customWidth="1"/>
    <col min="3590" max="3835" width="9.109375" style="1"/>
    <col min="3836" max="3836" width="20.6640625" style="1" customWidth="1"/>
    <col min="3837" max="3844" width="9.109375" style="1"/>
    <col min="3845" max="3845" width="20.6640625" style="1" bestFit="1" customWidth="1"/>
    <col min="3846" max="4091" width="9.109375" style="1"/>
    <col min="4092" max="4092" width="20.6640625" style="1" customWidth="1"/>
    <col min="4093" max="4100" width="9.109375" style="1"/>
    <col min="4101" max="4101" width="20.6640625" style="1" bestFit="1" customWidth="1"/>
    <col min="4102" max="4347" width="9.109375" style="1"/>
    <col min="4348" max="4348" width="20.6640625" style="1" customWidth="1"/>
    <col min="4349" max="4356" width="9.109375" style="1"/>
    <col min="4357" max="4357" width="20.6640625" style="1" bestFit="1" customWidth="1"/>
    <col min="4358" max="4603" width="9.109375" style="1"/>
    <col min="4604" max="4604" width="20.6640625" style="1" customWidth="1"/>
    <col min="4605" max="4612" width="9.109375" style="1"/>
    <col min="4613" max="4613" width="20.6640625" style="1" bestFit="1" customWidth="1"/>
    <col min="4614" max="4859" width="9.109375" style="1"/>
    <col min="4860" max="4860" width="20.6640625" style="1" customWidth="1"/>
    <col min="4861" max="4868" width="9.109375" style="1"/>
    <col min="4869" max="4869" width="20.6640625" style="1" bestFit="1" customWidth="1"/>
    <col min="4870" max="5115" width="9.109375" style="1"/>
    <col min="5116" max="5116" width="20.6640625" style="1" customWidth="1"/>
    <col min="5117" max="5124" width="9.109375" style="1"/>
    <col min="5125" max="5125" width="20.6640625" style="1" bestFit="1" customWidth="1"/>
    <col min="5126" max="5371" width="9.109375" style="1"/>
    <col min="5372" max="5372" width="20.6640625" style="1" customWidth="1"/>
    <col min="5373" max="5380" width="9.109375" style="1"/>
    <col min="5381" max="5381" width="20.6640625" style="1" bestFit="1" customWidth="1"/>
    <col min="5382" max="5627" width="9.109375" style="1"/>
    <col min="5628" max="5628" width="20.6640625" style="1" customWidth="1"/>
    <col min="5629" max="5636" width="9.109375" style="1"/>
    <col min="5637" max="5637" width="20.6640625" style="1" bestFit="1" customWidth="1"/>
    <col min="5638" max="5883" width="9.109375" style="1"/>
    <col min="5884" max="5884" width="20.6640625" style="1" customWidth="1"/>
    <col min="5885" max="5892" width="9.109375" style="1"/>
    <col min="5893" max="5893" width="20.6640625" style="1" bestFit="1" customWidth="1"/>
    <col min="5894" max="6139" width="9.109375" style="1"/>
    <col min="6140" max="6140" width="20.6640625" style="1" customWidth="1"/>
    <col min="6141" max="6148" width="9.109375" style="1"/>
    <col min="6149" max="6149" width="20.6640625" style="1" bestFit="1" customWidth="1"/>
    <col min="6150" max="6395" width="9.109375" style="1"/>
    <col min="6396" max="6396" width="20.6640625" style="1" customWidth="1"/>
    <col min="6397" max="6404" width="9.109375" style="1"/>
    <col min="6405" max="6405" width="20.6640625" style="1" bestFit="1" customWidth="1"/>
    <col min="6406" max="6651" width="9.109375" style="1"/>
    <col min="6652" max="6652" width="20.6640625" style="1" customWidth="1"/>
    <col min="6653" max="6660" width="9.109375" style="1"/>
    <col min="6661" max="6661" width="20.6640625" style="1" bestFit="1" customWidth="1"/>
    <col min="6662" max="6907" width="9.109375" style="1"/>
    <col min="6908" max="6908" width="20.6640625" style="1" customWidth="1"/>
    <col min="6909" max="6916" width="9.109375" style="1"/>
    <col min="6917" max="6917" width="20.6640625" style="1" bestFit="1" customWidth="1"/>
    <col min="6918" max="7163" width="9.109375" style="1"/>
    <col min="7164" max="7164" width="20.6640625" style="1" customWidth="1"/>
    <col min="7165" max="7172" width="9.109375" style="1"/>
    <col min="7173" max="7173" width="20.6640625" style="1" bestFit="1" customWidth="1"/>
    <col min="7174" max="7419" width="9.109375" style="1"/>
    <col min="7420" max="7420" width="20.6640625" style="1" customWidth="1"/>
    <col min="7421" max="7428" width="9.109375" style="1"/>
    <col min="7429" max="7429" width="20.6640625" style="1" bestFit="1" customWidth="1"/>
    <col min="7430" max="7675" width="9.109375" style="1"/>
    <col min="7676" max="7676" width="20.6640625" style="1" customWidth="1"/>
    <col min="7677" max="7684" width="9.109375" style="1"/>
    <col min="7685" max="7685" width="20.6640625" style="1" bestFit="1" customWidth="1"/>
    <col min="7686" max="7931" width="9.109375" style="1"/>
    <col min="7932" max="7932" width="20.6640625" style="1" customWidth="1"/>
    <col min="7933" max="7940" width="9.109375" style="1"/>
    <col min="7941" max="7941" width="20.6640625" style="1" bestFit="1" customWidth="1"/>
    <col min="7942" max="8187" width="9.109375" style="1"/>
    <col min="8188" max="8188" width="20.6640625" style="1" customWidth="1"/>
    <col min="8189" max="8196" width="9.109375" style="1"/>
    <col min="8197" max="8197" width="20.6640625" style="1" bestFit="1" customWidth="1"/>
    <col min="8198" max="8443" width="9.109375" style="1"/>
    <col min="8444" max="8444" width="20.6640625" style="1" customWidth="1"/>
    <col min="8445" max="8452" width="9.109375" style="1"/>
    <col min="8453" max="8453" width="20.6640625" style="1" bestFit="1" customWidth="1"/>
    <col min="8454" max="8699" width="9.109375" style="1"/>
    <col min="8700" max="8700" width="20.6640625" style="1" customWidth="1"/>
    <col min="8701" max="8708" width="9.109375" style="1"/>
    <col min="8709" max="8709" width="20.6640625" style="1" bestFit="1" customWidth="1"/>
    <col min="8710" max="8955" width="9.109375" style="1"/>
    <col min="8956" max="8956" width="20.6640625" style="1" customWidth="1"/>
    <col min="8957" max="8964" width="9.109375" style="1"/>
    <col min="8965" max="8965" width="20.6640625" style="1" bestFit="1" customWidth="1"/>
    <col min="8966" max="9211" width="9.109375" style="1"/>
    <col min="9212" max="9212" width="20.6640625" style="1" customWidth="1"/>
    <col min="9213" max="9220" width="9.109375" style="1"/>
    <col min="9221" max="9221" width="20.6640625" style="1" bestFit="1" customWidth="1"/>
    <col min="9222" max="9467" width="9.109375" style="1"/>
    <col min="9468" max="9468" width="20.6640625" style="1" customWidth="1"/>
    <col min="9469" max="9476" width="9.109375" style="1"/>
    <col min="9477" max="9477" width="20.6640625" style="1" bestFit="1" customWidth="1"/>
    <col min="9478" max="9723" width="9.109375" style="1"/>
    <col min="9724" max="9724" width="20.6640625" style="1" customWidth="1"/>
    <col min="9725" max="9732" width="9.109375" style="1"/>
    <col min="9733" max="9733" width="20.6640625" style="1" bestFit="1" customWidth="1"/>
    <col min="9734" max="9979" width="9.109375" style="1"/>
    <col min="9980" max="9980" width="20.6640625" style="1" customWidth="1"/>
    <col min="9981" max="9988" width="9.109375" style="1"/>
    <col min="9989" max="9989" width="20.6640625" style="1" bestFit="1" customWidth="1"/>
    <col min="9990" max="10235" width="9.109375" style="1"/>
    <col min="10236" max="10236" width="20.6640625" style="1" customWidth="1"/>
    <col min="10237" max="10244" width="9.109375" style="1"/>
    <col min="10245" max="10245" width="20.6640625" style="1" bestFit="1" customWidth="1"/>
    <col min="10246" max="10491" width="9.109375" style="1"/>
    <col min="10492" max="10492" width="20.6640625" style="1" customWidth="1"/>
    <col min="10493" max="10500" width="9.109375" style="1"/>
    <col min="10501" max="10501" width="20.6640625" style="1" bestFit="1" customWidth="1"/>
    <col min="10502" max="10747" width="9.109375" style="1"/>
    <col min="10748" max="10748" width="20.6640625" style="1" customWidth="1"/>
    <col min="10749" max="10756" width="9.109375" style="1"/>
    <col min="10757" max="10757" width="20.6640625" style="1" bestFit="1" customWidth="1"/>
    <col min="10758" max="11003" width="9.109375" style="1"/>
    <col min="11004" max="11004" width="20.6640625" style="1" customWidth="1"/>
    <col min="11005" max="11012" width="9.109375" style="1"/>
    <col min="11013" max="11013" width="20.6640625" style="1" bestFit="1" customWidth="1"/>
    <col min="11014" max="11259" width="9.109375" style="1"/>
    <col min="11260" max="11260" width="20.6640625" style="1" customWidth="1"/>
    <col min="11261" max="11268" width="9.109375" style="1"/>
    <col min="11269" max="11269" width="20.6640625" style="1" bestFit="1" customWidth="1"/>
    <col min="11270" max="11515" width="9.109375" style="1"/>
    <col min="11516" max="11516" width="20.6640625" style="1" customWidth="1"/>
    <col min="11517" max="11524" width="9.109375" style="1"/>
    <col min="11525" max="11525" width="20.6640625" style="1" bestFit="1" customWidth="1"/>
    <col min="11526" max="11771" width="9.109375" style="1"/>
    <col min="11772" max="11772" width="20.6640625" style="1" customWidth="1"/>
    <col min="11773" max="11780" width="9.109375" style="1"/>
    <col min="11781" max="11781" width="20.6640625" style="1" bestFit="1" customWidth="1"/>
    <col min="11782" max="12027" width="9.109375" style="1"/>
    <col min="12028" max="12028" width="20.6640625" style="1" customWidth="1"/>
    <col min="12029" max="12036" width="9.109375" style="1"/>
    <col min="12037" max="12037" width="20.6640625" style="1" bestFit="1" customWidth="1"/>
    <col min="12038" max="12283" width="9.109375" style="1"/>
    <col min="12284" max="12284" width="20.6640625" style="1" customWidth="1"/>
    <col min="12285" max="12292" width="9.109375" style="1"/>
    <col min="12293" max="12293" width="20.6640625" style="1" bestFit="1" customWidth="1"/>
    <col min="12294" max="12539" width="9.109375" style="1"/>
    <col min="12540" max="12540" width="20.6640625" style="1" customWidth="1"/>
    <col min="12541" max="12548" width="9.109375" style="1"/>
    <col min="12549" max="12549" width="20.6640625" style="1" bestFit="1" customWidth="1"/>
    <col min="12550" max="12795" width="9.109375" style="1"/>
    <col min="12796" max="12796" width="20.6640625" style="1" customWidth="1"/>
    <col min="12797" max="12804" width="9.109375" style="1"/>
    <col min="12805" max="12805" width="20.6640625" style="1" bestFit="1" customWidth="1"/>
    <col min="12806" max="13051" width="9.109375" style="1"/>
    <col min="13052" max="13052" width="20.6640625" style="1" customWidth="1"/>
    <col min="13053" max="13060" width="9.109375" style="1"/>
    <col min="13061" max="13061" width="20.6640625" style="1" bestFit="1" customWidth="1"/>
    <col min="13062" max="13307" width="9.109375" style="1"/>
    <col min="13308" max="13308" width="20.6640625" style="1" customWidth="1"/>
    <col min="13309" max="13316" width="9.109375" style="1"/>
    <col min="13317" max="13317" width="20.6640625" style="1" bestFit="1" customWidth="1"/>
    <col min="13318" max="13563" width="9.109375" style="1"/>
    <col min="13564" max="13564" width="20.6640625" style="1" customWidth="1"/>
    <col min="13565" max="13572" width="9.109375" style="1"/>
    <col min="13573" max="13573" width="20.6640625" style="1" bestFit="1" customWidth="1"/>
    <col min="13574" max="13819" width="9.109375" style="1"/>
    <col min="13820" max="13820" width="20.6640625" style="1" customWidth="1"/>
    <col min="13821" max="13828" width="9.109375" style="1"/>
    <col min="13829" max="13829" width="20.6640625" style="1" bestFit="1" customWidth="1"/>
    <col min="13830" max="14075" width="9.109375" style="1"/>
    <col min="14076" max="14076" width="20.6640625" style="1" customWidth="1"/>
    <col min="14077" max="14084" width="9.109375" style="1"/>
    <col min="14085" max="14085" width="20.6640625" style="1" bestFit="1" customWidth="1"/>
    <col min="14086" max="14331" width="9.109375" style="1"/>
    <col min="14332" max="14332" width="20.6640625" style="1" customWidth="1"/>
    <col min="14333" max="14340" width="9.109375" style="1"/>
    <col min="14341" max="14341" width="20.6640625" style="1" bestFit="1" customWidth="1"/>
    <col min="14342" max="14587" width="9.109375" style="1"/>
    <col min="14588" max="14588" width="20.6640625" style="1" customWidth="1"/>
    <col min="14589" max="14596" width="9.109375" style="1"/>
    <col min="14597" max="14597" width="20.6640625" style="1" bestFit="1" customWidth="1"/>
    <col min="14598" max="14843" width="9.109375" style="1"/>
    <col min="14844" max="14844" width="20.6640625" style="1" customWidth="1"/>
    <col min="14845" max="14852" width="9.109375" style="1"/>
    <col min="14853" max="14853" width="20.6640625" style="1" bestFit="1" customWidth="1"/>
    <col min="14854" max="15099" width="9.109375" style="1"/>
    <col min="15100" max="15100" width="20.6640625" style="1" customWidth="1"/>
    <col min="15101" max="15108" width="9.109375" style="1"/>
    <col min="15109" max="15109" width="20.6640625" style="1" bestFit="1" customWidth="1"/>
    <col min="15110" max="15355" width="9.109375" style="1"/>
    <col min="15356" max="15356" width="20.6640625" style="1" customWidth="1"/>
    <col min="15357" max="15364" width="9.109375" style="1"/>
    <col min="15365" max="15365" width="20.6640625" style="1" bestFit="1" customWidth="1"/>
    <col min="15366" max="15611" width="9.109375" style="1"/>
    <col min="15612" max="15612" width="20.6640625" style="1" customWidth="1"/>
    <col min="15613" max="15620" width="9.109375" style="1"/>
    <col min="15621" max="15621" width="20.6640625" style="1" bestFit="1" customWidth="1"/>
    <col min="15622" max="15867" width="9.109375" style="1"/>
    <col min="15868" max="15868" width="20.6640625" style="1" customWidth="1"/>
    <col min="15869" max="15876" width="9.109375" style="1"/>
    <col min="15877" max="15877" width="20.6640625" style="1" bestFit="1" customWidth="1"/>
    <col min="15878" max="16123" width="9.109375" style="1"/>
    <col min="16124" max="16124" width="20.6640625" style="1" customWidth="1"/>
    <col min="16125" max="16132" width="9.109375" style="1"/>
    <col min="16133" max="16133" width="20.6640625" style="1" bestFit="1" customWidth="1"/>
    <col min="16134" max="16384" width="9.109375" style="1"/>
  </cols>
  <sheetData>
    <row r="1" spans="1:8" x14ac:dyDescent="0.3">
      <c r="A1" s="3" t="s">
        <v>13</v>
      </c>
    </row>
    <row r="3" spans="1:8" x14ac:dyDescent="0.3">
      <c r="A3" s="3" t="s">
        <v>0</v>
      </c>
      <c r="B3" s="1" t="s">
        <v>14</v>
      </c>
    </row>
    <row r="4" spans="1:8" x14ac:dyDescent="0.3">
      <c r="A4" s="2" t="s">
        <v>1</v>
      </c>
      <c r="B4" s="4">
        <v>6</v>
      </c>
    </row>
    <row r="5" spans="1:8" x14ac:dyDescent="0.3">
      <c r="A5" s="2" t="s">
        <v>2</v>
      </c>
      <c r="B5" s="4">
        <v>6</v>
      </c>
    </row>
    <row r="6" spans="1:8" x14ac:dyDescent="0.3">
      <c r="A6" s="2" t="s">
        <v>3</v>
      </c>
      <c r="B6" s="4">
        <v>0</v>
      </c>
    </row>
    <row r="7" spans="1:8" x14ac:dyDescent="0.3">
      <c r="A7" s="2" t="s">
        <v>4</v>
      </c>
      <c r="B7" s="4">
        <v>8</v>
      </c>
    </row>
    <row r="8" spans="1:8" x14ac:dyDescent="0.3">
      <c r="A8" s="2" t="s">
        <v>5</v>
      </c>
      <c r="B8" s="4">
        <v>0</v>
      </c>
    </row>
    <row r="9" spans="1:8" x14ac:dyDescent="0.3">
      <c r="A9" s="2" t="s">
        <v>6</v>
      </c>
      <c r="B9" s="4">
        <v>2</v>
      </c>
    </row>
    <row r="10" spans="1:8" x14ac:dyDescent="0.3">
      <c r="A10" s="2" t="s">
        <v>7</v>
      </c>
      <c r="B10" s="4">
        <v>1</v>
      </c>
    </row>
    <row r="12" spans="1:8" x14ac:dyDescent="0.3">
      <c r="A12" s="3" t="s">
        <v>8</v>
      </c>
    </row>
    <row r="13" spans="1:8" x14ac:dyDescent="0.3">
      <c r="B13" s="5" t="s">
        <v>1</v>
      </c>
      <c r="C13" s="5" t="s">
        <v>2</v>
      </c>
      <c r="D13" s="5" t="s">
        <v>3</v>
      </c>
      <c r="E13" s="5" t="s">
        <v>4</v>
      </c>
      <c r="F13" s="5" t="s">
        <v>5</v>
      </c>
      <c r="G13" s="5" t="s">
        <v>6</v>
      </c>
      <c r="H13" s="5" t="s">
        <v>7</v>
      </c>
    </row>
    <row r="14" spans="1:8" x14ac:dyDescent="0.3">
      <c r="A14" s="2" t="s">
        <v>1</v>
      </c>
      <c r="B14" s="6">
        <f>$B4</f>
        <v>6</v>
      </c>
      <c r="C14" s="7">
        <f>$B4</f>
        <v>6</v>
      </c>
      <c r="D14" s="7">
        <f>$B4</f>
        <v>6</v>
      </c>
      <c r="E14" s="7">
        <f>$B4</f>
        <v>6</v>
      </c>
      <c r="F14" s="7">
        <f>$B4</f>
        <v>6</v>
      </c>
      <c r="G14" s="7">
        <v>0</v>
      </c>
      <c r="H14" s="8">
        <v>0</v>
      </c>
    </row>
    <row r="15" spans="1:8" x14ac:dyDescent="0.3">
      <c r="A15" s="2" t="s">
        <v>2</v>
      </c>
      <c r="B15" s="9">
        <v>0</v>
      </c>
      <c r="C15" s="4">
        <f>$B5</f>
        <v>6</v>
      </c>
      <c r="D15" s="4">
        <f>$B5</f>
        <v>6</v>
      </c>
      <c r="E15" s="4">
        <f>$B5</f>
        <v>6</v>
      </c>
      <c r="F15" s="4">
        <f>$B5</f>
        <v>6</v>
      </c>
      <c r="G15" s="4">
        <f>$B5</f>
        <v>6</v>
      </c>
      <c r="H15" s="10">
        <v>0</v>
      </c>
    </row>
    <row r="16" spans="1:8" x14ac:dyDescent="0.3">
      <c r="A16" s="2" t="s">
        <v>3</v>
      </c>
      <c r="B16" s="9">
        <v>0</v>
      </c>
      <c r="C16" s="4">
        <v>0</v>
      </c>
      <c r="D16" s="4">
        <f>$B6</f>
        <v>0</v>
      </c>
      <c r="E16" s="4">
        <f>$B6</f>
        <v>0</v>
      </c>
      <c r="F16" s="4">
        <f>$B6</f>
        <v>0</v>
      </c>
      <c r="G16" s="4">
        <f>$B6</f>
        <v>0</v>
      </c>
      <c r="H16" s="10">
        <f>$B6</f>
        <v>0</v>
      </c>
    </row>
    <row r="17" spans="1:8" x14ac:dyDescent="0.3">
      <c r="A17" s="2" t="s">
        <v>4</v>
      </c>
      <c r="B17" s="9">
        <f>$B7</f>
        <v>8</v>
      </c>
      <c r="C17" s="4">
        <v>0</v>
      </c>
      <c r="D17" s="4">
        <v>0</v>
      </c>
      <c r="E17" s="4">
        <f>$B7</f>
        <v>8</v>
      </c>
      <c r="F17" s="4">
        <f>$B7</f>
        <v>8</v>
      </c>
      <c r="G17" s="4">
        <f>$B7</f>
        <v>8</v>
      </c>
      <c r="H17" s="10">
        <f>$B7</f>
        <v>8</v>
      </c>
    </row>
    <row r="18" spans="1:8" x14ac:dyDescent="0.3">
      <c r="A18" s="2" t="s">
        <v>5</v>
      </c>
      <c r="B18" s="9">
        <f>$B8</f>
        <v>0</v>
      </c>
      <c r="C18" s="4">
        <f>$B8</f>
        <v>0</v>
      </c>
      <c r="D18" s="4">
        <v>0</v>
      </c>
      <c r="E18" s="4">
        <v>0</v>
      </c>
      <c r="F18" s="4">
        <f>$B8</f>
        <v>0</v>
      </c>
      <c r="G18" s="4">
        <f>$B8</f>
        <v>0</v>
      </c>
      <c r="H18" s="10">
        <f>$B8</f>
        <v>0</v>
      </c>
    </row>
    <row r="19" spans="1:8" x14ac:dyDescent="0.3">
      <c r="A19" s="2" t="s">
        <v>6</v>
      </c>
      <c r="B19" s="9">
        <f>$B9</f>
        <v>2</v>
      </c>
      <c r="C19" s="4">
        <f>$B9</f>
        <v>2</v>
      </c>
      <c r="D19" s="4">
        <f>$B9</f>
        <v>2</v>
      </c>
      <c r="E19" s="4">
        <v>0</v>
      </c>
      <c r="F19" s="4">
        <v>0</v>
      </c>
      <c r="G19" s="4">
        <f>$B9</f>
        <v>2</v>
      </c>
      <c r="H19" s="10">
        <f>$B9</f>
        <v>2</v>
      </c>
    </row>
    <row r="20" spans="1:8" x14ac:dyDescent="0.3">
      <c r="A20" s="2" t="s">
        <v>7</v>
      </c>
      <c r="B20" s="11">
        <f>$B10</f>
        <v>1</v>
      </c>
      <c r="C20" s="12">
        <f>$B10</f>
        <v>1</v>
      </c>
      <c r="D20" s="12">
        <f>$B10</f>
        <v>1</v>
      </c>
      <c r="E20" s="12">
        <f>$B10</f>
        <v>1</v>
      </c>
      <c r="F20" s="12">
        <v>0</v>
      </c>
      <c r="G20" s="12">
        <v>0</v>
      </c>
      <c r="H20" s="13">
        <f>$B10</f>
        <v>1</v>
      </c>
    </row>
    <row r="21" spans="1:8" x14ac:dyDescent="0.3">
      <c r="B21" s="4"/>
      <c r="C21" s="4"/>
      <c r="D21" s="4"/>
      <c r="E21" s="4"/>
      <c r="F21" s="4"/>
      <c r="G21" s="4"/>
      <c r="H21" s="4"/>
    </row>
    <row r="22" spans="1:8" x14ac:dyDescent="0.3">
      <c r="A22" s="3" t="s">
        <v>9</v>
      </c>
      <c r="B22" s="4"/>
      <c r="C22" s="4"/>
      <c r="D22" s="4"/>
      <c r="E22" s="4"/>
      <c r="F22" s="4"/>
      <c r="G22" s="4"/>
      <c r="H22" s="4"/>
    </row>
    <row r="23" spans="1:8" x14ac:dyDescent="0.3">
      <c r="A23" s="2" t="s">
        <v>10</v>
      </c>
      <c r="B23" s="4">
        <f t="shared" ref="B23:H23" si="0">SUM(B14:B20)</f>
        <v>17</v>
      </c>
      <c r="C23" s="4">
        <f t="shared" si="0"/>
        <v>15</v>
      </c>
      <c r="D23" s="4">
        <f t="shared" si="0"/>
        <v>15</v>
      </c>
      <c r="E23" s="4">
        <f t="shared" si="0"/>
        <v>21</v>
      </c>
      <c r="F23" s="4">
        <f t="shared" si="0"/>
        <v>20</v>
      </c>
      <c r="G23" s="4">
        <f t="shared" si="0"/>
        <v>16</v>
      </c>
      <c r="H23" s="4">
        <f t="shared" si="0"/>
        <v>11</v>
      </c>
    </row>
    <row r="24" spans="1:8" x14ac:dyDescent="0.3">
      <c r="B24" s="5"/>
      <c r="C24" s="5"/>
      <c r="D24" s="5"/>
      <c r="E24" s="5"/>
      <c r="F24" s="5"/>
      <c r="G24" s="5"/>
      <c r="H24" s="5"/>
    </row>
    <row r="25" spans="1:8" x14ac:dyDescent="0.3">
      <c r="A25" s="2" t="s">
        <v>11</v>
      </c>
      <c r="B25" s="14">
        <v>17</v>
      </c>
      <c r="C25" s="14">
        <v>13</v>
      </c>
      <c r="D25" s="14">
        <v>15</v>
      </c>
      <c r="E25" s="14">
        <v>19</v>
      </c>
      <c r="F25" s="14">
        <v>14</v>
      </c>
      <c r="G25" s="14">
        <v>16</v>
      </c>
      <c r="H25" s="14">
        <v>11</v>
      </c>
    </row>
    <row r="27" spans="1:8" x14ac:dyDescent="0.3">
      <c r="A27" s="3" t="s">
        <v>61</v>
      </c>
    </row>
    <row r="28" spans="1:8" x14ac:dyDescent="0.3">
      <c r="A28" s="2" t="s">
        <v>12</v>
      </c>
      <c r="B28" s="4">
        <f>SUM(B4:B10)</f>
        <v>23</v>
      </c>
    </row>
    <row r="30" spans="1:8" ht="22.05" customHeight="1" x14ac:dyDescent="0.3">
      <c r="A30" s="48" t="s">
        <v>62</v>
      </c>
      <c r="B30" s="49"/>
      <c r="C30" s="49"/>
      <c r="D30" s="49"/>
      <c r="E30" s="49"/>
      <c r="F30" s="49"/>
      <c r="G30" s="49"/>
      <c r="H30" s="49"/>
    </row>
    <row r="31" spans="1:8" x14ac:dyDescent="0.3">
      <c r="A31" s="61" t="s">
        <v>63</v>
      </c>
      <c r="B31" s="62">
        <v>10</v>
      </c>
    </row>
    <row r="32" spans="1:8" x14ac:dyDescent="0.3">
      <c r="A32" s="63" t="s">
        <v>64</v>
      </c>
      <c r="B32" s="64">
        <v>15</v>
      </c>
    </row>
    <row r="33" spans="1:8" x14ac:dyDescent="0.3">
      <c r="A33" s="61" t="s">
        <v>65</v>
      </c>
      <c r="B33" s="65">
        <v>8</v>
      </c>
    </row>
    <row r="34" spans="1:8" x14ac:dyDescent="0.3">
      <c r="A34"/>
      <c r="B34"/>
    </row>
    <row r="35" spans="1:8" ht="19.95" customHeight="1" x14ac:dyDescent="0.3">
      <c r="A35" s="51" t="s">
        <v>66</v>
      </c>
      <c r="B35" s="52" t="s">
        <v>1</v>
      </c>
      <c r="C35" s="52" t="s">
        <v>2</v>
      </c>
      <c r="D35" s="52" t="s">
        <v>3</v>
      </c>
      <c r="E35" s="52" t="s">
        <v>4</v>
      </c>
      <c r="F35" s="52" t="s">
        <v>5</v>
      </c>
      <c r="G35" s="52" t="s">
        <v>6</v>
      </c>
      <c r="H35" s="52" t="s">
        <v>7</v>
      </c>
    </row>
    <row r="36" spans="1:8" x14ac:dyDescent="0.3">
      <c r="A36" s="53" t="s">
        <v>67</v>
      </c>
      <c r="B36" s="54">
        <v>5</v>
      </c>
      <c r="C36" s="54">
        <v>4</v>
      </c>
      <c r="D36" s="54">
        <v>3</v>
      </c>
      <c r="E36" s="54">
        <v>3</v>
      </c>
      <c r="F36" s="54">
        <v>3</v>
      </c>
      <c r="G36" s="54">
        <v>3</v>
      </c>
      <c r="H36" s="54">
        <v>4</v>
      </c>
    </row>
    <row r="37" spans="1:8" x14ac:dyDescent="0.3">
      <c r="A37" s="55" t="s">
        <v>68</v>
      </c>
      <c r="B37" s="56">
        <v>0</v>
      </c>
      <c r="C37" s="56">
        <v>1</v>
      </c>
      <c r="D37" s="56">
        <v>2</v>
      </c>
      <c r="E37" s="56">
        <v>2</v>
      </c>
      <c r="F37" s="56">
        <v>2</v>
      </c>
      <c r="G37" s="56">
        <v>2</v>
      </c>
      <c r="H37" s="56">
        <v>1</v>
      </c>
    </row>
    <row r="38" spans="1:8" x14ac:dyDescent="0.3">
      <c r="A38" s="57" t="s">
        <v>69</v>
      </c>
      <c r="B38" s="58">
        <f t="shared" ref="B38:H38" si="1">$B$33*(B36*$B$31 + B37*$B$32)</f>
        <v>400</v>
      </c>
      <c r="C38" s="58">
        <f t="shared" si="1"/>
        <v>440</v>
      </c>
      <c r="D38" s="58">
        <f t="shared" si="1"/>
        <v>480</v>
      </c>
      <c r="E38" s="58">
        <f t="shared" si="1"/>
        <v>480</v>
      </c>
      <c r="F38" s="58">
        <f t="shared" si="1"/>
        <v>480</v>
      </c>
      <c r="G38" s="58">
        <f t="shared" si="1"/>
        <v>480</v>
      </c>
      <c r="H38" s="58">
        <f t="shared" si="1"/>
        <v>440</v>
      </c>
    </row>
    <row r="40" spans="1:8" ht="22.05" customHeight="1" x14ac:dyDescent="0.3">
      <c r="A40" s="59" t="s">
        <v>49</v>
      </c>
      <c r="B40" s="60" cm="1">
        <f t="array" ref="B40">SUMPRODUCT(B38:H38,TRANSPOSE(B4:B10))</f>
        <v>10280</v>
      </c>
      <c r="C40" s="50"/>
      <c r="D40" s="50"/>
      <c r="E40" s="50"/>
      <c r="F40" s="50"/>
      <c r="G40" s="50"/>
      <c r="H40" s="50"/>
    </row>
  </sheetData>
  <printOptions headings="1" gridLines="1"/>
  <pageMargins left="0.75" right="0.75" top="1" bottom="1" header="0.5" footer="0.5"/>
  <pageSetup scale="66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C25E-7A76-4C33-A8BA-7DA44B59F9E9}">
  <dimension ref="A1:E25"/>
  <sheetViews>
    <sheetView zoomScale="80" zoomScaleNormal="80" workbookViewId="0">
      <selection activeCell="F22" sqref="F22"/>
    </sheetView>
  </sheetViews>
  <sheetFormatPr defaultRowHeight="14.4" x14ac:dyDescent="0.3"/>
  <cols>
    <col min="1" max="1" width="77.88671875" customWidth="1"/>
    <col min="2" max="2" width="42.5546875" customWidth="1"/>
    <col min="3" max="3" width="20.33203125" customWidth="1"/>
    <col min="4" max="4" width="7.44140625" customWidth="1"/>
    <col min="5" max="6" width="16.6640625" customWidth="1"/>
    <col min="7" max="7" width="25.88671875" customWidth="1"/>
  </cols>
  <sheetData>
    <row r="1" spans="1:5" ht="34.049999999999997" customHeight="1" x14ac:dyDescent="0.35">
      <c r="A1" s="15" t="s">
        <v>131</v>
      </c>
    </row>
    <row r="2" spans="1:5" ht="7.95" customHeight="1" x14ac:dyDescent="0.3"/>
    <row r="3" spans="1:5" ht="22.05" customHeight="1" x14ac:dyDescent="0.3">
      <c r="A3" s="16" t="s">
        <v>70</v>
      </c>
    </row>
    <row r="4" spans="1:5" ht="28.05" customHeight="1" x14ac:dyDescent="0.3">
      <c r="A4" s="17" t="s">
        <v>71</v>
      </c>
    </row>
    <row r="5" spans="1:5" ht="6" customHeight="1" x14ac:dyDescent="0.3"/>
    <row r="6" spans="1:5" ht="19.95" customHeight="1" x14ac:dyDescent="0.3">
      <c r="A6" s="20" t="s">
        <v>50</v>
      </c>
      <c r="B6" s="20" t="s">
        <v>51</v>
      </c>
      <c r="C6" s="20" t="s">
        <v>52</v>
      </c>
      <c r="D6" s="20" t="s">
        <v>53</v>
      </c>
      <c r="E6" s="20" t="s">
        <v>54</v>
      </c>
    </row>
    <row r="7" spans="1:5" ht="18" customHeight="1" x14ac:dyDescent="0.3">
      <c r="A7" s="21" t="s">
        <v>16</v>
      </c>
      <c r="B7" s="22" t="s">
        <v>72</v>
      </c>
      <c r="C7" s="22">
        <v>5</v>
      </c>
      <c r="D7" s="22">
        <v>0</v>
      </c>
      <c r="E7" s="23">
        <f>C7*8*Model!$B$31+D7*8*Model!$B$32</f>
        <v>400</v>
      </c>
    </row>
    <row r="8" spans="1:5" ht="18" customHeight="1" x14ac:dyDescent="0.3">
      <c r="A8" s="24" t="s">
        <v>17</v>
      </c>
      <c r="B8" s="25" t="s">
        <v>73</v>
      </c>
      <c r="C8" s="25">
        <v>4</v>
      </c>
      <c r="D8" s="25">
        <v>1</v>
      </c>
      <c r="E8" s="26">
        <f>C8*8*Model!$B$31+D8*8*Model!$B$32</f>
        <v>440</v>
      </c>
    </row>
    <row r="9" spans="1:5" ht="18" customHeight="1" x14ac:dyDescent="0.3">
      <c r="A9" s="21" t="s">
        <v>18</v>
      </c>
      <c r="B9" s="22" t="s">
        <v>74</v>
      </c>
      <c r="C9" s="22">
        <v>3</v>
      </c>
      <c r="D9" s="22">
        <v>2</v>
      </c>
      <c r="E9" s="23">
        <f>C9*8*Model!$B$31+D9*8*Model!$B$32</f>
        <v>480</v>
      </c>
    </row>
    <row r="10" spans="1:5" ht="18" customHeight="1" x14ac:dyDescent="0.3">
      <c r="A10" s="24" t="s">
        <v>19</v>
      </c>
      <c r="B10" s="25" t="s">
        <v>75</v>
      </c>
      <c r="C10" s="25">
        <v>3</v>
      </c>
      <c r="D10" s="25">
        <v>2</v>
      </c>
      <c r="E10" s="26">
        <f>C10*8*Model!$B$31+D10*8*Model!$B$32</f>
        <v>480</v>
      </c>
    </row>
    <row r="11" spans="1:5" ht="18" customHeight="1" x14ac:dyDescent="0.3">
      <c r="A11" s="21" t="s">
        <v>20</v>
      </c>
      <c r="B11" s="22" t="s">
        <v>76</v>
      </c>
      <c r="C11" s="22">
        <v>3</v>
      </c>
      <c r="D11" s="22">
        <v>2</v>
      </c>
      <c r="E11" s="23">
        <f>C11*8*Model!$B$31+D11*8*Model!$B$32</f>
        <v>480</v>
      </c>
    </row>
    <row r="12" spans="1:5" ht="18" customHeight="1" x14ac:dyDescent="0.3">
      <c r="A12" s="24" t="s">
        <v>21</v>
      </c>
      <c r="B12" s="25" t="s">
        <v>77</v>
      </c>
      <c r="C12" s="25">
        <v>3</v>
      </c>
      <c r="D12" s="25">
        <v>2</v>
      </c>
      <c r="E12" s="26">
        <f>C12*8*Model!$B$31+D12*8*Model!$B$32</f>
        <v>480</v>
      </c>
    </row>
    <row r="13" spans="1:5" ht="18" customHeight="1" x14ac:dyDescent="0.3">
      <c r="A13" s="21" t="s">
        <v>22</v>
      </c>
      <c r="B13" s="22" t="s">
        <v>78</v>
      </c>
      <c r="C13" s="22">
        <v>4</v>
      </c>
      <c r="D13" s="22">
        <v>1</v>
      </c>
      <c r="E13" s="23">
        <f>C13*8*Model!$B$31+D13*8*Model!$B$32</f>
        <v>440</v>
      </c>
    </row>
    <row r="14" spans="1:5" ht="7.95" customHeight="1" x14ac:dyDescent="0.3"/>
    <row r="15" spans="1:5" ht="22.05" customHeight="1" x14ac:dyDescent="0.3">
      <c r="A15" s="16" t="s">
        <v>79</v>
      </c>
    </row>
    <row r="16" spans="1:5" ht="18" customHeight="1" x14ac:dyDescent="0.3">
      <c r="A16" s="17" t="s">
        <v>80</v>
      </c>
    </row>
    <row r="17" spans="1:5" ht="7.95" customHeight="1" thickBot="1" x14ac:dyDescent="0.35"/>
    <row r="18" spans="1:5" ht="30" customHeight="1" thickBot="1" x14ac:dyDescent="0.35">
      <c r="A18" s="28" t="s">
        <v>81</v>
      </c>
      <c r="B18" s="27"/>
      <c r="C18" s="27"/>
      <c r="D18" s="27"/>
      <c r="E18" s="29"/>
    </row>
    <row r="19" spans="1:5" ht="7.95" customHeight="1" x14ac:dyDescent="0.3"/>
    <row r="20" spans="1:5" ht="22.05" customHeight="1" x14ac:dyDescent="0.3">
      <c r="A20" s="16" t="s">
        <v>82</v>
      </c>
    </row>
    <row r="21" spans="1:5" ht="18" customHeight="1" x14ac:dyDescent="0.3">
      <c r="A21" s="18" t="s">
        <v>47</v>
      </c>
      <c r="B21" s="30">
        <f>Model!B31</f>
        <v>10</v>
      </c>
    </row>
    <row r="22" spans="1:5" ht="18" customHeight="1" x14ac:dyDescent="0.3">
      <c r="A22" s="19" t="s">
        <v>48</v>
      </c>
      <c r="B22" s="31">
        <f>Model!B32</f>
        <v>15</v>
      </c>
    </row>
    <row r="23" spans="1:5" ht="18" customHeight="1" x14ac:dyDescent="0.3">
      <c r="A23" s="18" t="s">
        <v>65</v>
      </c>
      <c r="B23" s="32">
        <f>Model!B33</f>
        <v>8</v>
      </c>
    </row>
    <row r="24" spans="1:5" ht="18" customHeight="1" x14ac:dyDescent="0.3">
      <c r="A24" s="19" t="s">
        <v>83</v>
      </c>
      <c r="B24" s="31">
        <f>Model!B31*Model!B33</f>
        <v>80</v>
      </c>
    </row>
    <row r="25" spans="1:5" ht="18" customHeight="1" x14ac:dyDescent="0.3">
      <c r="A25" s="18" t="s">
        <v>84</v>
      </c>
      <c r="B25" s="30">
        <f>Model!B32*Model!B33</f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E559-A5ED-4C8D-86C2-AA6391B9C691}">
  <dimension ref="A1:E35"/>
  <sheetViews>
    <sheetView zoomScale="60" zoomScaleNormal="60" workbookViewId="0">
      <selection activeCell="D37" sqref="D37"/>
    </sheetView>
  </sheetViews>
  <sheetFormatPr defaultRowHeight="14.4" x14ac:dyDescent="0.3"/>
  <cols>
    <col min="1" max="1" width="64.109375" customWidth="1"/>
    <col min="2" max="2" width="64.33203125" customWidth="1"/>
    <col min="3" max="3" width="18.5546875" customWidth="1"/>
    <col min="4" max="4" width="32.77734375" customWidth="1"/>
    <col min="5" max="5" width="38.33203125" customWidth="1"/>
    <col min="6" max="6" width="14.77734375" customWidth="1"/>
  </cols>
  <sheetData>
    <row r="1" spans="1:5" ht="34.049999999999997" customHeight="1" x14ac:dyDescent="0.35">
      <c r="A1" s="15" t="s">
        <v>130</v>
      </c>
    </row>
    <row r="2" spans="1:5" ht="7.95" customHeight="1" x14ac:dyDescent="0.3"/>
    <row r="3" spans="1:5" ht="22.05" customHeight="1" x14ac:dyDescent="0.3">
      <c r="A3" s="16" t="s">
        <v>132</v>
      </c>
    </row>
    <row r="4" spans="1:5" ht="19.95" customHeight="1" x14ac:dyDescent="0.3">
      <c r="A4" s="33" t="s">
        <v>85</v>
      </c>
      <c r="B4" s="33" t="s">
        <v>43</v>
      </c>
    </row>
    <row r="5" spans="1:5" ht="18" customHeight="1" x14ac:dyDescent="0.3">
      <c r="A5" s="21" t="s">
        <v>86</v>
      </c>
      <c r="B5" s="21" t="s">
        <v>87</v>
      </c>
    </row>
    <row r="6" spans="1:5" ht="18" customHeight="1" x14ac:dyDescent="0.3">
      <c r="A6" s="24" t="s">
        <v>88</v>
      </c>
      <c r="B6" s="24" t="s">
        <v>89</v>
      </c>
    </row>
    <row r="7" spans="1:5" ht="18" customHeight="1" x14ac:dyDescent="0.3">
      <c r="A7" s="21" t="s">
        <v>90</v>
      </c>
      <c r="B7" s="21" t="s">
        <v>91</v>
      </c>
    </row>
    <row r="8" spans="1:5" ht="18" customHeight="1" x14ac:dyDescent="0.3">
      <c r="A8" s="24" t="s">
        <v>92</v>
      </c>
      <c r="B8" s="24" t="s">
        <v>93</v>
      </c>
    </row>
    <row r="9" spans="1:5" ht="18" customHeight="1" x14ac:dyDescent="0.3">
      <c r="A9" s="21" t="s">
        <v>94</v>
      </c>
      <c r="B9" s="21" t="s">
        <v>95</v>
      </c>
    </row>
    <row r="10" spans="1:5" ht="18" customHeight="1" x14ac:dyDescent="0.3">
      <c r="A10" s="24" t="s">
        <v>96</v>
      </c>
      <c r="B10" s="24" t="s">
        <v>97</v>
      </c>
    </row>
    <row r="11" spans="1:5" ht="7.95" customHeight="1" x14ac:dyDescent="0.3"/>
    <row r="12" spans="1:5" ht="22.05" customHeight="1" x14ac:dyDescent="0.3">
      <c r="A12" s="16" t="s">
        <v>133</v>
      </c>
    </row>
    <row r="13" spans="1:5" ht="19.95" customHeight="1" x14ac:dyDescent="0.3">
      <c r="A13" s="33" t="s">
        <v>35</v>
      </c>
      <c r="B13" s="33" t="s">
        <v>50</v>
      </c>
      <c r="C13" s="33" t="s">
        <v>98</v>
      </c>
      <c r="D13" s="33" t="s">
        <v>99</v>
      </c>
      <c r="E13" s="33" t="s">
        <v>55</v>
      </c>
    </row>
    <row r="14" spans="1:5" ht="18" customHeight="1" x14ac:dyDescent="0.3">
      <c r="A14" s="22" t="s">
        <v>36</v>
      </c>
      <c r="B14" s="21" t="s">
        <v>23</v>
      </c>
      <c r="C14" s="22">
        <f>Model!B4</f>
        <v>6</v>
      </c>
      <c r="D14" s="23">
        <f>'Part 1. Worker scheduling '!E7</f>
        <v>400</v>
      </c>
      <c r="E14" s="23">
        <f t="shared" ref="E14:E20" si="0">C14*D14</f>
        <v>2400</v>
      </c>
    </row>
    <row r="15" spans="1:5" ht="18" customHeight="1" x14ac:dyDescent="0.3">
      <c r="A15" s="25" t="s">
        <v>37</v>
      </c>
      <c r="B15" s="24" t="s">
        <v>24</v>
      </c>
      <c r="C15" s="25">
        <f>Model!B5</f>
        <v>6</v>
      </c>
      <c r="D15" s="26">
        <f>'Part 1. Worker scheduling '!E8</f>
        <v>440</v>
      </c>
      <c r="E15" s="26">
        <f t="shared" si="0"/>
        <v>2640</v>
      </c>
    </row>
    <row r="16" spans="1:5" ht="18" customHeight="1" x14ac:dyDescent="0.3">
      <c r="A16" s="22" t="s">
        <v>38</v>
      </c>
      <c r="B16" s="21" t="s">
        <v>25</v>
      </c>
      <c r="C16" s="22">
        <f>Model!B6</f>
        <v>0</v>
      </c>
      <c r="D16" s="23">
        <f>'Part 1. Worker scheduling '!E9</f>
        <v>480</v>
      </c>
      <c r="E16" s="23">
        <f t="shared" si="0"/>
        <v>0</v>
      </c>
    </row>
    <row r="17" spans="1:5" ht="18" customHeight="1" x14ac:dyDescent="0.3">
      <c r="A17" s="25" t="s">
        <v>39</v>
      </c>
      <c r="B17" s="24" t="s">
        <v>26</v>
      </c>
      <c r="C17" s="25">
        <f>Model!B7</f>
        <v>8</v>
      </c>
      <c r="D17" s="26">
        <f>'Part 1. Worker scheduling '!E10</f>
        <v>480</v>
      </c>
      <c r="E17" s="26">
        <f t="shared" si="0"/>
        <v>3840</v>
      </c>
    </row>
    <row r="18" spans="1:5" ht="18" customHeight="1" x14ac:dyDescent="0.3">
      <c r="A18" s="22" t="s">
        <v>40</v>
      </c>
      <c r="B18" s="21" t="s">
        <v>27</v>
      </c>
      <c r="C18" s="22">
        <f>Model!B8</f>
        <v>0</v>
      </c>
      <c r="D18" s="23">
        <f>'Part 1. Worker scheduling '!E11</f>
        <v>480</v>
      </c>
      <c r="E18" s="23">
        <f t="shared" si="0"/>
        <v>0</v>
      </c>
    </row>
    <row r="19" spans="1:5" ht="18" customHeight="1" x14ac:dyDescent="0.3">
      <c r="A19" s="25" t="s">
        <v>41</v>
      </c>
      <c r="B19" s="24" t="s">
        <v>28</v>
      </c>
      <c r="C19" s="25">
        <f>Model!B9</f>
        <v>2</v>
      </c>
      <c r="D19" s="26">
        <f>'Part 1. Worker scheduling '!E12</f>
        <v>480</v>
      </c>
      <c r="E19" s="26">
        <f t="shared" si="0"/>
        <v>960</v>
      </c>
    </row>
    <row r="20" spans="1:5" ht="18" customHeight="1" x14ac:dyDescent="0.3">
      <c r="A20" s="22" t="s">
        <v>42</v>
      </c>
      <c r="B20" s="21" t="s">
        <v>29</v>
      </c>
      <c r="C20" s="22">
        <f>Model!B10</f>
        <v>1</v>
      </c>
      <c r="D20" s="23">
        <f>'Part 1. Worker scheduling '!E13</f>
        <v>440</v>
      </c>
      <c r="E20" s="23">
        <f t="shared" si="0"/>
        <v>440</v>
      </c>
    </row>
    <row r="21" spans="1:5" ht="22.05" customHeight="1" x14ac:dyDescent="0.3">
      <c r="A21" s="34" t="s">
        <v>44</v>
      </c>
      <c r="B21" s="35" t="s">
        <v>100</v>
      </c>
      <c r="C21" s="34">
        <f>SUM(C14:C20)</f>
        <v>23</v>
      </c>
      <c r="D21" s="36" t="s">
        <v>101</v>
      </c>
      <c r="E21" s="37">
        <f>SUM(E14:E20)</f>
        <v>10280</v>
      </c>
    </row>
    <row r="22" spans="1:5" ht="7.95" customHeight="1" x14ac:dyDescent="0.3"/>
    <row r="23" spans="1:5" ht="22.05" customHeight="1" x14ac:dyDescent="0.3">
      <c r="A23" s="16" t="s">
        <v>134</v>
      </c>
    </row>
    <row r="24" spans="1:5" ht="19.95" customHeight="1" x14ac:dyDescent="0.3">
      <c r="A24" s="33" t="s">
        <v>15</v>
      </c>
      <c r="B24" s="33" t="s">
        <v>56</v>
      </c>
      <c r="C24" s="33" t="s">
        <v>30</v>
      </c>
      <c r="D24" s="33" t="s">
        <v>31</v>
      </c>
      <c r="E24" s="33" t="s">
        <v>32</v>
      </c>
    </row>
    <row r="25" spans="1:5" ht="18" customHeight="1" x14ac:dyDescent="0.3">
      <c r="A25" s="21" t="s">
        <v>23</v>
      </c>
      <c r="B25" s="22">
        <f>Model!B23</f>
        <v>17</v>
      </c>
      <c r="C25" s="22">
        <f>Model!B25</f>
        <v>17</v>
      </c>
      <c r="D25" s="22">
        <f t="shared" ref="D25:D31" si="1">B25-C25</f>
        <v>0</v>
      </c>
      <c r="E25" s="22" t="str">
        <f t="shared" ref="E25:E31" si="2">IF(B25&gt;=C25,"Yes ✓","No ✗")</f>
        <v>Yes ✓</v>
      </c>
    </row>
    <row r="26" spans="1:5" ht="18" customHeight="1" x14ac:dyDescent="0.3">
      <c r="A26" s="24" t="s">
        <v>24</v>
      </c>
      <c r="B26" s="25">
        <f>Model!C23</f>
        <v>15</v>
      </c>
      <c r="C26" s="25">
        <f>Model!C25</f>
        <v>13</v>
      </c>
      <c r="D26" s="25">
        <f t="shared" si="1"/>
        <v>2</v>
      </c>
      <c r="E26" s="25" t="str">
        <f t="shared" si="2"/>
        <v>Yes ✓</v>
      </c>
    </row>
    <row r="27" spans="1:5" ht="18" customHeight="1" x14ac:dyDescent="0.3">
      <c r="A27" s="21" t="s">
        <v>25</v>
      </c>
      <c r="B27" s="22">
        <f>Model!D23</f>
        <v>15</v>
      </c>
      <c r="C27" s="22">
        <f>Model!D25</f>
        <v>15</v>
      </c>
      <c r="D27" s="22">
        <f t="shared" si="1"/>
        <v>0</v>
      </c>
      <c r="E27" s="22" t="str">
        <f t="shared" si="2"/>
        <v>Yes ✓</v>
      </c>
    </row>
    <row r="28" spans="1:5" ht="18" customHeight="1" x14ac:dyDescent="0.3">
      <c r="A28" s="24" t="s">
        <v>26</v>
      </c>
      <c r="B28" s="25">
        <f>Model!E23</f>
        <v>21</v>
      </c>
      <c r="C28" s="25">
        <f>Model!E25</f>
        <v>19</v>
      </c>
      <c r="D28" s="25">
        <f t="shared" si="1"/>
        <v>2</v>
      </c>
      <c r="E28" s="25" t="str">
        <f t="shared" si="2"/>
        <v>Yes ✓</v>
      </c>
    </row>
    <row r="29" spans="1:5" ht="18" customHeight="1" x14ac:dyDescent="0.3">
      <c r="A29" s="21" t="s">
        <v>27</v>
      </c>
      <c r="B29" s="22">
        <f>Model!F23</f>
        <v>20</v>
      </c>
      <c r="C29" s="22">
        <f>Model!F25</f>
        <v>14</v>
      </c>
      <c r="D29" s="22">
        <f t="shared" si="1"/>
        <v>6</v>
      </c>
      <c r="E29" s="22" t="str">
        <f t="shared" si="2"/>
        <v>Yes ✓</v>
      </c>
    </row>
    <row r="30" spans="1:5" ht="18" customHeight="1" x14ac:dyDescent="0.3">
      <c r="A30" s="24" t="s">
        <v>28</v>
      </c>
      <c r="B30" s="25">
        <f>Model!G23</f>
        <v>16</v>
      </c>
      <c r="C30" s="25">
        <f>Model!G25</f>
        <v>16</v>
      </c>
      <c r="D30" s="25">
        <f t="shared" si="1"/>
        <v>0</v>
      </c>
      <c r="E30" s="25" t="str">
        <f t="shared" si="2"/>
        <v>Yes ✓</v>
      </c>
    </row>
    <row r="31" spans="1:5" ht="18" customHeight="1" x14ac:dyDescent="0.3">
      <c r="A31" s="21" t="s">
        <v>29</v>
      </c>
      <c r="B31" s="22">
        <f>Model!H23</f>
        <v>11</v>
      </c>
      <c r="C31" s="22">
        <f>Model!H25</f>
        <v>11</v>
      </c>
      <c r="D31" s="22">
        <f t="shared" si="1"/>
        <v>0</v>
      </c>
      <c r="E31" s="22" t="str">
        <f t="shared" si="2"/>
        <v>Yes ✓</v>
      </c>
    </row>
    <row r="32" spans="1:5" ht="7.95" customHeight="1" x14ac:dyDescent="0.3"/>
    <row r="33" spans="1:5" ht="22.05" customHeight="1" x14ac:dyDescent="0.3">
      <c r="A33" s="35" t="s">
        <v>33</v>
      </c>
      <c r="B33" s="34" t="str">
        <f>IF(COUNTIF(E25:E31,"No ✗")=0,"YES ✓ — All 7 days covered","NO ✗ — Violations exist")</f>
        <v>YES ✓ — All 7 days covered</v>
      </c>
      <c r="C33" s="38"/>
      <c r="D33" s="38"/>
      <c r="E33" s="38"/>
    </row>
    <row r="34" spans="1:5" ht="7.95" customHeight="1" x14ac:dyDescent="0.3"/>
    <row r="35" spans="1:5" ht="28.05" customHeight="1" x14ac:dyDescent="0.35">
      <c r="A35" s="39" t="s">
        <v>102</v>
      </c>
      <c r="B35" s="40">
        <f>Model!B40</f>
        <v>10280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3F6F-E4B4-4694-982B-2E8250711DB1}">
  <dimension ref="A1:F35"/>
  <sheetViews>
    <sheetView tabSelected="1" zoomScaleNormal="100" workbookViewId="0">
      <selection activeCell="I9" sqref="I9"/>
    </sheetView>
  </sheetViews>
  <sheetFormatPr defaultRowHeight="14.4" x14ac:dyDescent="0.3"/>
  <cols>
    <col min="1" max="1" width="38" customWidth="1"/>
    <col min="2" max="2" width="36.44140625" customWidth="1"/>
    <col min="3" max="3" width="30.21875" customWidth="1"/>
    <col min="4" max="4" width="20.33203125" customWidth="1"/>
    <col min="5" max="5" width="27.44140625" customWidth="1"/>
    <col min="6" max="6" width="25.6640625" customWidth="1"/>
  </cols>
  <sheetData>
    <row r="1" spans="1:6" ht="34.049999999999997" customHeight="1" x14ac:dyDescent="0.35">
      <c r="A1" s="72" t="s">
        <v>135</v>
      </c>
      <c r="B1" s="72"/>
      <c r="C1" s="72"/>
      <c r="D1" s="72"/>
      <c r="E1" s="72"/>
      <c r="F1" s="72"/>
    </row>
    <row r="2" spans="1:6" ht="7.95" customHeight="1" x14ac:dyDescent="0.3"/>
    <row r="3" spans="1:6" ht="22.05" customHeight="1" x14ac:dyDescent="0.3">
      <c r="A3" s="67" t="s">
        <v>57</v>
      </c>
      <c r="B3" s="67"/>
      <c r="C3" s="67"/>
      <c r="D3" s="67"/>
      <c r="E3" s="67"/>
      <c r="F3" s="67"/>
    </row>
    <row r="4" spans="1:6" ht="19.95" customHeight="1" x14ac:dyDescent="0.3">
      <c r="A4" s="69" t="s">
        <v>103</v>
      </c>
      <c r="B4" s="69"/>
      <c r="C4" s="69"/>
      <c r="D4" s="69"/>
      <c r="E4" s="69"/>
      <c r="F4" s="69"/>
    </row>
    <row r="5" spans="1:6" ht="18" customHeight="1" x14ac:dyDescent="0.3">
      <c r="A5" s="69" t="s">
        <v>104</v>
      </c>
      <c r="B5" s="69"/>
      <c r="C5" s="69"/>
      <c r="D5" s="69"/>
      <c r="E5" s="69"/>
      <c r="F5" s="69"/>
    </row>
    <row r="6" spans="1:6" ht="18" customHeight="1" x14ac:dyDescent="0.3">
      <c r="A6" s="69" t="s">
        <v>105</v>
      </c>
      <c r="B6" s="69"/>
      <c r="C6" s="69"/>
      <c r="D6" s="69"/>
      <c r="E6" s="69"/>
      <c r="F6" s="69"/>
    </row>
    <row r="7" spans="1:6" ht="7.95" customHeight="1" x14ac:dyDescent="0.3"/>
    <row r="8" spans="1:6" ht="22.05" customHeight="1" x14ac:dyDescent="0.3">
      <c r="A8" s="66" t="s">
        <v>106</v>
      </c>
      <c r="B8" s="66"/>
      <c r="C8" s="66"/>
      <c r="D8" s="66"/>
      <c r="E8" s="66"/>
      <c r="F8" s="66"/>
    </row>
    <row r="9" spans="1:6" ht="19.95" customHeight="1" x14ac:dyDescent="0.3">
      <c r="A9" s="33" t="s">
        <v>35</v>
      </c>
      <c r="B9" s="33" t="s">
        <v>45</v>
      </c>
      <c r="C9" s="33" t="s">
        <v>34</v>
      </c>
      <c r="D9" s="33" t="s">
        <v>58</v>
      </c>
      <c r="E9" s="33" t="s">
        <v>59</v>
      </c>
      <c r="F9" s="33" t="s">
        <v>60</v>
      </c>
    </row>
    <row r="10" spans="1:6" ht="18" customHeight="1" x14ac:dyDescent="0.3">
      <c r="A10" s="21" t="s">
        <v>107</v>
      </c>
      <c r="B10" s="41">
        <v>2</v>
      </c>
      <c r="C10" s="22">
        <f>Model!B4</f>
        <v>6</v>
      </c>
      <c r="D10" s="23">
        <f>'Part 1. Worker scheduling '!E7</f>
        <v>400</v>
      </c>
      <c r="E10" s="23">
        <f t="shared" ref="E10:E16" si="0">B10*D10</f>
        <v>800</v>
      </c>
      <c r="F10" s="23">
        <f t="shared" ref="F10:F16" si="1">C10*D10</f>
        <v>2400</v>
      </c>
    </row>
    <row r="11" spans="1:6" ht="18" customHeight="1" x14ac:dyDescent="0.3">
      <c r="A11" s="24" t="s">
        <v>108</v>
      </c>
      <c r="B11" s="42">
        <v>3</v>
      </c>
      <c r="C11" s="25">
        <f>Model!B5</f>
        <v>6</v>
      </c>
      <c r="D11" s="26">
        <f>'Part 1. Worker scheduling '!E8</f>
        <v>440</v>
      </c>
      <c r="E11" s="26">
        <f t="shared" si="0"/>
        <v>1320</v>
      </c>
      <c r="F11" s="26">
        <f t="shared" si="1"/>
        <v>2640</v>
      </c>
    </row>
    <row r="12" spans="1:6" ht="18" customHeight="1" x14ac:dyDescent="0.3">
      <c r="A12" s="21" t="s">
        <v>109</v>
      </c>
      <c r="B12" s="41">
        <v>3</v>
      </c>
      <c r="C12" s="22">
        <f>Model!B6</f>
        <v>0</v>
      </c>
      <c r="D12" s="23">
        <f>'Part 1. Worker scheduling '!E9</f>
        <v>480</v>
      </c>
      <c r="E12" s="23">
        <f t="shared" si="0"/>
        <v>1440</v>
      </c>
      <c r="F12" s="23">
        <f t="shared" si="1"/>
        <v>0</v>
      </c>
    </row>
    <row r="13" spans="1:6" ht="18" customHeight="1" x14ac:dyDescent="0.3">
      <c r="A13" s="24" t="s">
        <v>110</v>
      </c>
      <c r="B13" s="42">
        <v>7</v>
      </c>
      <c r="C13" s="25">
        <f>Model!B7</f>
        <v>8</v>
      </c>
      <c r="D13" s="26">
        <f>'Part 1. Worker scheduling '!E10</f>
        <v>480</v>
      </c>
      <c r="E13" s="26">
        <f t="shared" si="0"/>
        <v>3360</v>
      </c>
      <c r="F13" s="26">
        <f t="shared" si="1"/>
        <v>3840</v>
      </c>
    </row>
    <row r="14" spans="1:6" ht="18" customHeight="1" x14ac:dyDescent="0.3">
      <c r="A14" s="21" t="s">
        <v>111</v>
      </c>
      <c r="B14" s="41">
        <v>0</v>
      </c>
      <c r="C14" s="22">
        <f>Model!B8</f>
        <v>0</v>
      </c>
      <c r="D14" s="23">
        <f>'Part 1. Worker scheduling '!E11</f>
        <v>480</v>
      </c>
      <c r="E14" s="23">
        <f t="shared" si="0"/>
        <v>0</v>
      </c>
      <c r="F14" s="23">
        <f t="shared" si="1"/>
        <v>0</v>
      </c>
    </row>
    <row r="15" spans="1:6" ht="18" customHeight="1" x14ac:dyDescent="0.3">
      <c r="A15" s="24" t="s">
        <v>112</v>
      </c>
      <c r="B15" s="42">
        <v>4</v>
      </c>
      <c r="C15" s="25">
        <f>Model!B9</f>
        <v>2</v>
      </c>
      <c r="D15" s="26">
        <f>'Part 1. Worker scheduling '!E12</f>
        <v>480</v>
      </c>
      <c r="E15" s="26">
        <f t="shared" si="0"/>
        <v>1920</v>
      </c>
      <c r="F15" s="26">
        <f t="shared" si="1"/>
        <v>960</v>
      </c>
    </row>
    <row r="16" spans="1:6" ht="18" customHeight="1" x14ac:dyDescent="0.3">
      <c r="A16" s="21" t="s">
        <v>113</v>
      </c>
      <c r="B16" s="41">
        <v>4</v>
      </c>
      <c r="C16" s="22">
        <f>Model!B10</f>
        <v>1</v>
      </c>
      <c r="D16" s="23">
        <f>'Part 1. Worker scheduling '!E13</f>
        <v>440</v>
      </c>
      <c r="E16" s="23">
        <f t="shared" si="0"/>
        <v>1760</v>
      </c>
      <c r="F16" s="23">
        <f t="shared" si="1"/>
        <v>440</v>
      </c>
    </row>
    <row r="17" spans="1:6" ht="22.05" customHeight="1" x14ac:dyDescent="0.3">
      <c r="A17" s="34" t="s">
        <v>114</v>
      </c>
      <c r="B17" s="34">
        <f>SUM(B10:B16)</f>
        <v>23</v>
      </c>
      <c r="C17" s="34">
        <f>SUM(C10:C16)</f>
        <v>23</v>
      </c>
      <c r="D17" s="34" t="s">
        <v>115</v>
      </c>
      <c r="E17" s="37">
        <f>SUM(E10:E16)</f>
        <v>10600</v>
      </c>
      <c r="F17" s="37">
        <f>SUM(F10:F16)</f>
        <v>10280</v>
      </c>
    </row>
    <row r="18" spans="1:6" ht="7.95" customHeight="1" x14ac:dyDescent="0.3"/>
    <row r="19" spans="1:6" ht="22.05" customHeight="1" x14ac:dyDescent="0.3">
      <c r="A19" s="67" t="s">
        <v>116</v>
      </c>
      <c r="B19" s="67"/>
      <c r="C19" s="67"/>
      <c r="D19" s="67"/>
      <c r="E19" s="67"/>
      <c r="F19" s="67"/>
    </row>
    <row r="20" spans="1:6" ht="22.05" customHeight="1" x14ac:dyDescent="0.3">
      <c r="A20" s="43" t="s">
        <v>117</v>
      </c>
      <c r="B20" s="44" t="str">
        <f>IF(E17&lt;=F17,"YES — Still optimal","NO — Not optimal")</f>
        <v>NO — Not optimal</v>
      </c>
    </row>
    <row r="21" spans="1:6" ht="18" customHeight="1" x14ac:dyDescent="0.3">
      <c r="A21" s="21" t="s">
        <v>118</v>
      </c>
      <c r="B21" s="45">
        <f>E17</f>
        <v>10600</v>
      </c>
    </row>
    <row r="22" spans="1:6" ht="18" customHeight="1" x14ac:dyDescent="0.3">
      <c r="A22" s="24" t="s">
        <v>119</v>
      </c>
      <c r="B22" s="46">
        <f>F17</f>
        <v>10280</v>
      </c>
    </row>
    <row r="23" spans="1:6" ht="18" customHeight="1" x14ac:dyDescent="0.3">
      <c r="A23" s="21" t="s">
        <v>120</v>
      </c>
      <c r="B23" s="47">
        <f>E17-F17</f>
        <v>320</v>
      </c>
    </row>
    <row r="24" spans="1:6" ht="7.95" customHeight="1" x14ac:dyDescent="0.3"/>
    <row r="25" spans="1:6" ht="22.05" customHeight="1" x14ac:dyDescent="0.3">
      <c r="A25" s="67" t="s">
        <v>121</v>
      </c>
      <c r="B25" s="67"/>
      <c r="C25" s="67"/>
      <c r="D25" s="67"/>
      <c r="E25" s="67"/>
      <c r="F25" s="67"/>
    </row>
    <row r="26" spans="1:6" ht="19.95" customHeight="1" x14ac:dyDescent="0.3">
      <c r="A26" s="68" t="s">
        <v>122</v>
      </c>
      <c r="B26" s="69"/>
      <c r="C26" s="69"/>
      <c r="D26" s="69"/>
      <c r="E26" s="69"/>
      <c r="F26" s="69"/>
    </row>
    <row r="27" spans="1:6" ht="18" customHeight="1" x14ac:dyDescent="0.3">
      <c r="A27" s="70" t="s">
        <v>123</v>
      </c>
      <c r="B27" s="71"/>
      <c r="C27" s="71"/>
      <c r="D27" s="71"/>
      <c r="E27" s="71"/>
      <c r="F27" s="71"/>
    </row>
    <row r="28" spans="1:6" ht="18" customHeight="1" x14ac:dyDescent="0.3">
      <c r="A28" s="68" t="s">
        <v>124</v>
      </c>
      <c r="B28" s="69"/>
      <c r="C28" s="69"/>
      <c r="D28" s="69"/>
      <c r="E28" s="69"/>
      <c r="F28" s="69"/>
    </row>
    <row r="29" spans="1:6" ht="18" customHeight="1" x14ac:dyDescent="0.3">
      <c r="A29" s="70" t="s">
        <v>125</v>
      </c>
      <c r="B29" s="71"/>
      <c r="C29" s="71"/>
      <c r="D29" s="71"/>
      <c r="E29" s="71"/>
      <c r="F29" s="71"/>
    </row>
    <row r="30" spans="1:6" ht="18" customHeight="1" x14ac:dyDescent="0.3">
      <c r="A30" s="68" t="s">
        <v>126</v>
      </c>
      <c r="B30" s="69"/>
      <c r="C30" s="69"/>
      <c r="D30" s="69"/>
      <c r="E30" s="69"/>
      <c r="F30" s="69"/>
    </row>
    <row r="31" spans="1:6" ht="18" customHeight="1" x14ac:dyDescent="0.3">
      <c r="A31" s="70" t="s">
        <v>127</v>
      </c>
      <c r="B31" s="71"/>
      <c r="C31" s="71"/>
      <c r="D31" s="71"/>
      <c r="E31" s="71"/>
      <c r="F31" s="71"/>
    </row>
    <row r="32" spans="1:6" ht="18" customHeight="1" x14ac:dyDescent="0.3">
      <c r="A32" s="68" t="s">
        <v>128</v>
      </c>
      <c r="B32" s="69"/>
      <c r="C32" s="69"/>
      <c r="D32" s="69"/>
      <c r="E32" s="69"/>
      <c r="F32" s="69"/>
    </row>
    <row r="33" spans="1:6" ht="7.95" customHeight="1" x14ac:dyDescent="0.3"/>
    <row r="34" spans="1:6" ht="22.05" customHeight="1" thickBot="1" x14ac:dyDescent="0.35">
      <c r="A34" s="73" t="s">
        <v>46</v>
      </c>
      <c r="B34" s="74"/>
      <c r="C34" s="74"/>
      <c r="D34" s="74"/>
      <c r="E34" s="74"/>
      <c r="F34" s="74"/>
    </row>
    <row r="35" spans="1:6" ht="40.049999999999997" customHeight="1" thickBot="1" x14ac:dyDescent="0.35">
      <c r="A35" s="75" t="s">
        <v>129</v>
      </c>
      <c r="B35" s="76"/>
      <c r="C35" s="76"/>
      <c r="D35" s="76"/>
      <c r="E35" s="76"/>
      <c r="F35" s="77"/>
    </row>
  </sheetData>
  <mergeCells count="17">
    <mergeCell ref="A34:F34"/>
    <mergeCell ref="A35:F35"/>
    <mergeCell ref="A28:F28"/>
    <mergeCell ref="A29:F29"/>
    <mergeCell ref="A30:F30"/>
    <mergeCell ref="A31:F31"/>
    <mergeCell ref="A32:F32"/>
    <mergeCell ref="A1:F1"/>
    <mergeCell ref="A3:F3"/>
    <mergeCell ref="A4:F4"/>
    <mergeCell ref="A5:F5"/>
    <mergeCell ref="A6:F6"/>
    <mergeCell ref="A8:F8"/>
    <mergeCell ref="A19:F19"/>
    <mergeCell ref="A25:F25"/>
    <mergeCell ref="A26:F26"/>
    <mergeCell ref="A27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</vt:lpstr>
      <vt:lpstr>Part 1. Worker scheduling </vt:lpstr>
      <vt:lpstr>Part 2. Worker scheduling </vt:lpstr>
      <vt:lpstr>Part 3 -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Shakila Azad</dc:creator>
  <cp:lastModifiedBy>Shakila Azad</cp:lastModifiedBy>
  <dcterms:created xsi:type="dcterms:W3CDTF">2007-05-15T18:17:22Z</dcterms:created>
  <dcterms:modified xsi:type="dcterms:W3CDTF">2026-05-02T04:54:44Z</dcterms:modified>
</cp:coreProperties>
</file>