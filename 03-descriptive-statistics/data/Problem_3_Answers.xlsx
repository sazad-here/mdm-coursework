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Problem 3 Data" sheetId="1" state="visible" r:id="rId1"/>
    <sheet xmlns:r="http://schemas.openxmlformats.org/officeDocument/2006/relationships" name="Problem 3 Answers" sheetId="2" state="visible" r:id="rId2"/>
    <sheet xmlns:r="http://schemas.openxmlformats.org/officeDocument/2006/relationships" name="Problem 6 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Column Chart (Age Distribution)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Frequency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'Problem 3 Answers'!$A$13:$A$15</f>
              <strCache>
                <ptCount val="3"/>
                <pt idx="0">
                  <v>Young</v>
                </pt>
                <pt idx="1">
                  <v>Middle-aged</v>
                </pt>
                <pt idx="2">
                  <v>Elderly</v>
                </pt>
              </strCache>
            </strRef>
          </cat>
          <val>
            <numRef>
              <f>'Problem 3 Answers'!$B$13:$B$15</f>
              <numCache>
                <formatCode>General</formatCode>
                <ptCount val="3"/>
                <pt idx="0">
                  <v>87</v>
                </pt>
                <pt idx="1">
                  <v>218</v>
                </pt>
                <pt idx="2">
                  <v>94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10001"/>
        <axId val="50010002"/>
      </barChart>
      <catAx>
        <axId val="5001000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Age Group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nextTo"/>
        <crossAx val="50010002"/>
        <crosses val="autoZero"/>
        <auto val="1"/>
        <lblAlgn val="ctr"/>
        <lblOffset val="100"/>
        <noMultiLvlLbl val="0"/>
      </catAx>
      <valAx>
        <axId val="5001000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Count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Frequency Distribution of Salary Categories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Frequency</v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'Problem 3 Answers'!$A$49:$A$52</f>
              <strCache>
                <ptCount val="4"/>
                <pt idx="0">
                  <v>Less than 40K</v>
                </pt>
                <pt idx="1">
                  <v>Between 40K and 70K</v>
                </pt>
                <pt idx="2">
                  <v>Between 70K and 100K</v>
                </pt>
                <pt idx="3">
                  <v>Greater than 100K</v>
                </pt>
              </strCache>
            </strRef>
          </cat>
          <val>
            <numRef>
              <f>'Problem 3 Answers'!$B$49:$B$52</f>
              <numCache>
                <formatCode>General</formatCode>
                <ptCount val="4"/>
                <pt idx="0">
                  <v>27</v>
                </pt>
                <pt idx="1">
                  <v>119</v>
                </pt>
                <pt idx="2">
                  <v>168</v>
                </pt>
                <pt idx="3">
                  <v>85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20001"/>
        <axId val="50020002"/>
      </barChart>
      <catAx>
        <axId val="5002000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Salary Category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nextTo"/>
        <crossAx val="50020002"/>
        <crosses val="autoZero"/>
        <auto val="1"/>
        <lblAlgn val="ctr"/>
        <lblOffset val="100"/>
        <noMultiLvlLbl val="0"/>
      </catAx>
      <valAx>
        <axId val="5002000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Count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50020001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4</col>
      <colOff>0</colOff>
      <row>9</row>
      <rowOff>0</rowOff>
    </from>
    <to>
      <col>13</col>
      <colOff>0</colOff>
      <row>24</row>
      <rowOff>161925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1135380</colOff>
      <row>64</row>
      <rowOff>152400</rowOff>
    </from>
    <to>
      <col>1</col>
      <colOff>5612130</colOff>
      <row>86</row>
      <rowOff>83820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"/>
  <sheetViews>
    <sheetView workbookViewId="0">
      <selection activeCell="A1" sqref="A1"/>
    </sheetView>
  </sheetViews>
  <sheetFormatPr baseColWidth="8" defaultRowHeight="14.4"/>
  <cols>
    <col width="15.6640625" customWidth="1" min="1" max="11"/>
  </cols>
  <sheetData>
    <row r="1">
      <c r="A1" s="1" t="inlineStr">
        <is>
          <t>Person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State</t>
        </is>
      </c>
      <c r="E1" s="1" t="inlineStr">
        <is>
          <t>Children</t>
        </is>
      </c>
      <c r="F1" s="1" t="inlineStr">
        <is>
          <t>Salary</t>
        </is>
      </c>
      <c r="G1" s="1" t="inlineStr">
        <is>
          <t>Opinion</t>
        </is>
      </c>
      <c r="H1" s="1" t="inlineStr">
        <is>
          <t>Gender Recoded</t>
        </is>
      </c>
      <c r="I1" s="1" t="inlineStr">
        <is>
          <t>Children Recoded</t>
        </is>
      </c>
      <c r="J1" s="1" t="inlineStr">
        <is>
          <t>Salary Recoded</t>
        </is>
      </c>
      <c r="K1" s="1" t="inlineStr">
        <is>
          <t>Opinion Recoded</t>
        </is>
      </c>
    </row>
    <row r="2">
      <c r="A2" s="5" t="n">
        <v>1</v>
      </c>
      <c r="B2" s="5" t="inlineStr">
        <is>
          <t>Middle-aged</t>
        </is>
      </c>
      <c r="C2" s="5" t="n">
        <v>2</v>
      </c>
      <c r="D2" s="5" t="inlineStr">
        <is>
          <t>Texas</t>
        </is>
      </c>
      <c r="E2" s="5" t="n">
        <v>2</v>
      </c>
      <c r="F2" s="5" t="n">
        <v>63017</v>
      </c>
      <c r="G2" s="5" t="inlineStr">
        <is>
          <t>Strongly agree</t>
        </is>
      </c>
      <c r="H2" s="5">
        <f>IF(C2=1, "Male", "Female")</f>
        <v/>
      </c>
      <c r="I2" s="5">
        <f>IF(E2=0, "No children", "At least one child")</f>
        <v/>
      </c>
      <c r="J2" s="5">
        <f>IF(F2&lt;40000, "Less than 40K", IF(F2&lt;=70000, "Between 40K and 70K", IF(F2&lt;=100000, "Between 70K and 100K", "Greater than 100K")))</f>
        <v/>
      </c>
      <c r="K2" s="5">
        <f>IF(G2="Strongly disagree", 1, IF(G2="Disagree", 2, IF(G2="Neutral", 3, IF(G2="Agree", 4, IF(G2="Strongly agree", 5, 0)))))</f>
        <v/>
      </c>
    </row>
    <row r="3">
      <c r="A3" s="5" t="n">
        <v>2</v>
      </c>
      <c r="B3" s="5" t="inlineStr">
        <is>
          <t>Middle-aged</t>
        </is>
      </c>
      <c r="C3" s="5" t="n">
        <v>2</v>
      </c>
      <c r="D3" s="5" t="inlineStr">
        <is>
          <t>Virginia</t>
        </is>
      </c>
      <c r="E3" s="5" t="n">
        <v>3</v>
      </c>
      <c r="F3" s="5" t="n">
        <v>100302</v>
      </c>
      <c r="G3" s="5" t="inlineStr">
        <is>
          <t>Strongly disagree</t>
        </is>
      </c>
      <c r="H3" s="5">
        <f>IF(C3=1, "Male", "Female")</f>
        <v/>
      </c>
      <c r="I3" s="5">
        <f>IF(E3=0, "No children", "At least one child")</f>
        <v/>
      </c>
      <c r="J3" s="5">
        <f>IF(F3&lt;40000, "Less than 40K", IF(F3&lt;=70000, "Between 40K and 70K", IF(F3&lt;=100000, "Between 70K and 100K", "Greater than 100K")))</f>
        <v/>
      </c>
      <c r="K3" s="5">
        <f>IF(G3="Strongly disagree", 1, IF(G3="Disagree", 2, IF(G3="Neutral", 3, IF(G3="Agree", 4, IF(G3="Strongly agree", 5, 0)))))</f>
        <v/>
      </c>
    </row>
    <row r="4">
      <c r="A4" s="5" t="n">
        <v>3</v>
      </c>
      <c r="B4" s="5" t="inlineStr">
        <is>
          <t>Middle-aged</t>
        </is>
      </c>
      <c r="C4" s="5" t="n">
        <v>2</v>
      </c>
      <c r="D4" s="5" t="inlineStr">
        <is>
          <t>California</t>
        </is>
      </c>
      <c r="E4" s="5" t="n">
        <v>0</v>
      </c>
      <c r="F4" s="5" t="n">
        <v>144043</v>
      </c>
      <c r="G4" s="5" t="inlineStr">
        <is>
          <t>Strongly agree</t>
        </is>
      </c>
      <c r="H4" s="5">
        <f>IF(C4=1, "Male", "Female")</f>
        <v/>
      </c>
      <c r="I4" s="5">
        <f>IF(E4=0, "No children", "At least one child")</f>
        <v/>
      </c>
      <c r="J4" s="5">
        <f>IF(F4&lt;40000, "Less than 40K", IF(F4&lt;=70000, "Between 40K and 70K", IF(F4&lt;=100000, "Between 70K and 100K", "Greater than 100K")))</f>
        <v/>
      </c>
      <c r="K4" s="5">
        <f>IF(G4="Strongly disagree", 1, IF(G4="Disagree", 2, IF(G4="Neutral", 3, IF(G4="Agree", 4, IF(G4="Strongly agree", 5, 0)))))</f>
        <v/>
      </c>
    </row>
    <row r="5">
      <c r="A5" s="5" t="n">
        <v>4</v>
      </c>
      <c r="B5" s="5" t="inlineStr">
        <is>
          <t>Young</t>
        </is>
      </c>
      <c r="C5" s="5" t="n">
        <v>2</v>
      </c>
      <c r="D5" s="5" t="inlineStr">
        <is>
          <t>California</t>
        </is>
      </c>
      <c r="E5" s="5" t="n">
        <v>0</v>
      </c>
      <c r="F5" s="5" t="n">
        <v>36025</v>
      </c>
      <c r="G5" s="5" t="inlineStr">
        <is>
          <t>Agree</t>
        </is>
      </c>
      <c r="H5" s="5">
        <f>IF(C5=1, "Male", "Female")</f>
        <v/>
      </c>
      <c r="I5" s="5">
        <f>IF(E5=0, "No children", "At least one child")</f>
        <v/>
      </c>
      <c r="J5" s="5">
        <f>IF(F5&lt;40000, "Less than 40K", IF(F5&lt;=70000, "Between 40K and 70K", IF(F5&lt;=100000, "Between 70K and 100K", "Greater than 100K")))</f>
        <v/>
      </c>
      <c r="K5" s="5">
        <f>IF(G5="Strongly disagree", 1, IF(G5="Disagree", 2, IF(G5="Neutral", 3, IF(G5="Agree", 4, IF(G5="Strongly agree", 5, 0)))))</f>
        <v/>
      </c>
    </row>
    <row r="6">
      <c r="A6" s="5" t="n">
        <v>5</v>
      </c>
      <c r="B6" s="5" t="inlineStr">
        <is>
          <t>Middle-aged</t>
        </is>
      </c>
      <c r="C6" s="5" t="n">
        <v>1</v>
      </c>
      <c r="D6" s="5" t="inlineStr">
        <is>
          <t>Texas</t>
        </is>
      </c>
      <c r="E6" s="5" t="n">
        <v>0</v>
      </c>
      <c r="F6" s="5" t="n">
        <v>97543</v>
      </c>
      <c r="G6" s="5" t="inlineStr">
        <is>
          <t>Neutral</t>
        </is>
      </c>
      <c r="H6" s="5">
        <f>IF(C6=1, "Male", "Female")</f>
        <v/>
      </c>
      <c r="I6" s="5">
        <f>IF(E6=0, "No children", "At least one child")</f>
        <v/>
      </c>
      <c r="J6" s="5">
        <f>IF(F6&lt;40000, "Less than 40K", IF(F6&lt;=70000, "Between 40K and 70K", IF(F6&lt;=100000, "Between 70K and 100K", "Greater than 100K")))</f>
        <v/>
      </c>
      <c r="K6" s="5">
        <f>IF(G6="Strongly disagree", 1, IF(G6="Disagree", 2, IF(G6="Neutral", 3, IF(G6="Agree", 4, IF(G6="Strongly agree", 5, 0)))))</f>
        <v/>
      </c>
    </row>
    <row r="7">
      <c r="A7" s="5" t="n">
        <v>6</v>
      </c>
      <c r="B7" s="5" t="inlineStr">
        <is>
          <t>Middle-aged</t>
        </is>
      </c>
      <c r="C7" s="5" t="n">
        <v>1</v>
      </c>
      <c r="D7" s="5" t="inlineStr">
        <is>
          <t>California</t>
        </is>
      </c>
      <c r="E7" s="5" t="n">
        <v>3</v>
      </c>
      <c r="F7" s="5" t="n">
        <v>69222</v>
      </c>
      <c r="G7" s="5" t="inlineStr">
        <is>
          <t>Disagree</t>
        </is>
      </c>
      <c r="H7" s="5">
        <f>IF(C7=1, "Male", "Female")</f>
        <v/>
      </c>
      <c r="I7" s="5">
        <f>IF(E7=0, "No children", "At least one child")</f>
        <v/>
      </c>
      <c r="J7" s="5">
        <f>IF(F7&lt;40000, "Less than 40K", IF(F7&lt;=70000, "Between 40K and 70K", IF(F7&lt;=100000, "Between 70K and 100K", "Greater than 100K")))</f>
        <v/>
      </c>
      <c r="K7" s="5">
        <f>IF(G7="Strongly disagree", 1, IF(G7="Disagree", 2, IF(G7="Neutral", 3, IF(G7="Agree", 4, IF(G7="Strongly agree", 5, 0)))))</f>
        <v/>
      </c>
    </row>
    <row r="8">
      <c r="A8" s="5" t="n">
        <v>7</v>
      </c>
      <c r="B8" s="5" t="inlineStr">
        <is>
          <t>Middle-aged</t>
        </is>
      </c>
      <c r="C8" s="5" t="n">
        <v>2</v>
      </c>
      <c r="D8" s="5" t="inlineStr">
        <is>
          <t>Michigan</t>
        </is>
      </c>
      <c r="E8" s="5" t="n">
        <v>2</v>
      </c>
      <c r="F8" s="5" t="n">
        <v>81799</v>
      </c>
      <c r="G8" s="5" t="inlineStr">
        <is>
          <t>Disagree</t>
        </is>
      </c>
      <c r="H8" s="5">
        <f>IF(C8=1, "Male", "Female")</f>
        <v/>
      </c>
      <c r="I8" s="5">
        <f>IF(E8=0, "No children", "At least one child")</f>
        <v/>
      </c>
      <c r="J8" s="5">
        <f>IF(F8&lt;40000, "Less than 40K", IF(F8&lt;=70000, "Between 40K and 70K", IF(F8&lt;=100000, "Between 70K and 100K", "Greater than 100K")))</f>
        <v/>
      </c>
      <c r="K8" s="5">
        <f>IF(G8="Strongly disagree", 1, IF(G8="Disagree", 2, IF(G8="Neutral", 3, IF(G8="Agree", 4, IF(G8="Strongly agree", 5, 0)))))</f>
        <v/>
      </c>
    </row>
    <row r="9">
      <c r="A9" s="5" t="n">
        <v>8</v>
      </c>
      <c r="B9" s="5" t="inlineStr">
        <is>
          <t>Middle-aged</t>
        </is>
      </c>
      <c r="C9" s="5" t="n">
        <v>2</v>
      </c>
      <c r="D9" s="5" t="inlineStr">
        <is>
          <t>Texas</t>
        </is>
      </c>
      <c r="E9" s="5" t="n">
        <v>1</v>
      </c>
      <c r="F9" s="5" t="n">
        <v>101894</v>
      </c>
      <c r="G9" s="5" t="inlineStr">
        <is>
          <t>Agree</t>
        </is>
      </c>
      <c r="H9" s="5">
        <f>IF(C9=1, "Male", "Female")</f>
        <v/>
      </c>
      <c r="I9" s="5">
        <f>IF(E9=0, "No children", "At least one child")</f>
        <v/>
      </c>
      <c r="J9" s="5">
        <f>IF(F9&lt;40000, "Less than 40K", IF(F9&lt;=70000, "Between 40K and 70K", IF(F9&lt;=100000, "Between 70K and 100K", "Greater than 100K")))</f>
        <v/>
      </c>
      <c r="K9" s="5">
        <f>IF(G9="Strongly disagree", 1, IF(G9="Disagree", 2, IF(G9="Neutral", 3, IF(G9="Agree", 4, IF(G9="Strongly agree", 5, 0)))))</f>
        <v/>
      </c>
    </row>
    <row r="10">
      <c r="A10" s="5" t="n">
        <v>9</v>
      </c>
      <c r="B10" s="5" t="inlineStr">
        <is>
          <t>Middle-aged</t>
        </is>
      </c>
      <c r="C10" s="5" t="n">
        <v>1</v>
      </c>
      <c r="D10" s="5" t="inlineStr">
        <is>
          <t>Virginia</t>
        </is>
      </c>
      <c r="E10" s="5" t="n">
        <v>0</v>
      </c>
      <c r="F10" s="5" t="n">
        <v>83843</v>
      </c>
      <c r="G10" s="5" t="inlineStr">
        <is>
          <t>Strongly disagree</t>
        </is>
      </c>
      <c r="H10" s="5">
        <f>IF(C10=1, "Male", "Female")</f>
        <v/>
      </c>
      <c r="I10" s="5">
        <f>IF(E10=0, "No children", "At least one child")</f>
        <v/>
      </c>
      <c r="J10" s="5">
        <f>IF(F10&lt;40000, "Less than 40K", IF(F10&lt;=70000, "Between 40K and 70K", IF(F10&lt;=100000, "Between 70K and 100K", "Greater than 100K")))</f>
        <v/>
      </c>
      <c r="K10" s="5">
        <f>IF(G10="Strongly disagree", 1, IF(G10="Disagree", 2, IF(G10="Neutral", 3, IF(G10="Agree", 4, IF(G10="Strongly agree", 5, 0)))))</f>
        <v/>
      </c>
    </row>
    <row r="11">
      <c r="A11" s="5" t="n">
        <v>10</v>
      </c>
      <c r="B11" s="5" t="inlineStr">
        <is>
          <t>Middle-aged</t>
        </is>
      </c>
      <c r="C11" s="5" t="n">
        <v>1</v>
      </c>
      <c r="D11" s="5" t="inlineStr">
        <is>
          <t>Illinois</t>
        </is>
      </c>
      <c r="E11" s="5" t="n">
        <v>3</v>
      </c>
      <c r="F11" s="5" t="n">
        <v>87457</v>
      </c>
      <c r="G11" s="5" t="inlineStr">
        <is>
          <t>Agree</t>
        </is>
      </c>
      <c r="H11" s="5">
        <f>IF(C11=1, "Male", "Female")</f>
        <v/>
      </c>
      <c r="I11" s="5">
        <f>IF(E11=0, "No children", "At least one child")</f>
        <v/>
      </c>
      <c r="J11" s="5">
        <f>IF(F11&lt;40000, "Less than 40K", IF(F11&lt;=70000, "Between 40K and 70K", IF(F11&lt;=100000, "Between 70K and 100K", "Greater than 100K")))</f>
        <v/>
      </c>
      <c r="K11" s="5">
        <f>IF(G11="Strongly disagree", 1, IF(G11="Disagree", 2, IF(G11="Neutral", 3, IF(G11="Agree", 4, IF(G11="Strongly agree", 5, 0)))))</f>
        <v/>
      </c>
    </row>
    <row r="12">
      <c r="A12" s="5" t="n">
        <v>11</v>
      </c>
      <c r="B12" s="5" t="inlineStr">
        <is>
          <t>Elderly</t>
        </is>
      </c>
      <c r="C12" s="5" t="n">
        <v>2</v>
      </c>
      <c r="D12" s="5" t="inlineStr">
        <is>
          <t>Arizona</t>
        </is>
      </c>
      <c r="E12" s="5" t="n">
        <v>0</v>
      </c>
      <c r="F12" s="5" t="n">
        <v>48966</v>
      </c>
      <c r="G12" s="5" t="inlineStr">
        <is>
          <t>Disagree</t>
        </is>
      </c>
      <c r="H12" s="5">
        <f>IF(C12=1, "Male", "Female")</f>
        <v/>
      </c>
      <c r="I12" s="5">
        <f>IF(E12=0, "No children", "At least one child")</f>
        <v/>
      </c>
      <c r="J12" s="5">
        <f>IF(F12&lt;40000, "Less than 40K", IF(F12&lt;=70000, "Between 40K and 70K", IF(F12&lt;=100000, "Between 70K and 100K", "Greater than 100K")))</f>
        <v/>
      </c>
      <c r="K12" s="5">
        <f>IF(G12="Strongly disagree", 1, IF(G12="Disagree", 2, IF(G12="Neutral", 3, IF(G12="Agree", 4, IF(G12="Strongly agree", 5, 0)))))</f>
        <v/>
      </c>
    </row>
    <row r="13">
      <c r="A13" s="5" t="n">
        <v>12</v>
      </c>
      <c r="B13" s="5" t="inlineStr">
        <is>
          <t>Middle-aged</t>
        </is>
      </c>
      <c r="C13" s="5" t="n">
        <v>2</v>
      </c>
      <c r="D13" s="5" t="inlineStr">
        <is>
          <t>Arizona</t>
        </is>
      </c>
      <c r="E13" s="5" t="n">
        <v>1</v>
      </c>
      <c r="F13" s="5" t="n">
        <v>88855</v>
      </c>
      <c r="G13" s="5" t="inlineStr">
        <is>
          <t>Disagree</t>
        </is>
      </c>
      <c r="H13" s="5">
        <f>IF(C13=1, "Male", "Female")</f>
        <v/>
      </c>
      <c r="I13" s="5">
        <f>IF(E13=0, "No children", "At least one child")</f>
        <v/>
      </c>
      <c r="J13" s="5">
        <f>IF(F13&lt;40000, "Less than 40K", IF(F13&lt;=70000, "Between 40K and 70K", IF(F13&lt;=100000, "Between 70K and 100K", "Greater than 100K")))</f>
        <v/>
      </c>
      <c r="K13" s="5">
        <f>IF(G13="Strongly disagree", 1, IF(G13="Disagree", 2, IF(G13="Neutral", 3, IF(G13="Agree", 4, IF(G13="Strongly agree", 5, 0)))))</f>
        <v/>
      </c>
    </row>
    <row r="14">
      <c r="A14" s="5" t="n">
        <v>13</v>
      </c>
      <c r="B14" s="5" t="inlineStr">
        <is>
          <t>Middle-aged</t>
        </is>
      </c>
      <c r="C14" s="5" t="n">
        <v>1</v>
      </c>
      <c r="D14" s="5" t="inlineStr">
        <is>
          <t>Minnesota</t>
        </is>
      </c>
      <c r="E14" s="5" t="n">
        <v>1</v>
      </c>
      <c r="F14" s="5" t="n">
        <v>115138</v>
      </c>
      <c r="G14" s="5" t="inlineStr">
        <is>
          <t>Strongly agree</t>
        </is>
      </c>
      <c r="H14" s="5">
        <f>IF(C14=1, "Male", "Female")</f>
        <v/>
      </c>
      <c r="I14" s="5">
        <f>IF(E14=0, "No children", "At least one child")</f>
        <v/>
      </c>
      <c r="J14" s="5">
        <f>IF(F14&lt;40000, "Less than 40K", IF(F14&lt;=70000, "Between 40K and 70K", IF(F14&lt;=100000, "Between 70K and 100K", "Greater than 100K")))</f>
        <v/>
      </c>
      <c r="K14" s="5">
        <f>IF(G14="Strongly disagree", 1, IF(G14="Disagree", 2, IF(G14="Neutral", 3, IF(G14="Agree", 4, IF(G14="Strongly agree", 5, 0)))))</f>
        <v/>
      </c>
    </row>
    <row r="15">
      <c r="A15" s="5" t="n">
        <v>14</v>
      </c>
      <c r="B15" s="5" t="inlineStr">
        <is>
          <t>Elderly</t>
        </is>
      </c>
      <c r="C15" s="5" t="n">
        <v>2</v>
      </c>
      <c r="D15" s="5" t="inlineStr">
        <is>
          <t>Texas</t>
        </is>
      </c>
      <c r="E15" s="5" t="n">
        <v>2</v>
      </c>
      <c r="F15" s="5" t="n">
        <v>67748</v>
      </c>
      <c r="G15" s="5" t="inlineStr">
        <is>
          <t>Neutral</t>
        </is>
      </c>
      <c r="H15" s="5">
        <f>IF(C15=1, "Male", "Female")</f>
        <v/>
      </c>
      <c r="I15" s="5">
        <f>IF(E15=0, "No children", "At least one child")</f>
        <v/>
      </c>
      <c r="J15" s="5">
        <f>IF(F15&lt;40000, "Less than 40K", IF(F15&lt;=70000, "Between 40K and 70K", IF(F15&lt;=100000, "Between 70K and 100K", "Greater than 100K")))</f>
        <v/>
      </c>
      <c r="K15" s="5">
        <f>IF(G15="Strongly disagree", 1, IF(G15="Disagree", 2, IF(G15="Neutral", 3, IF(G15="Agree", 4, IF(G15="Strongly agree", 5, 0)))))</f>
        <v/>
      </c>
    </row>
    <row r="16">
      <c r="A16" s="5" t="n">
        <v>15</v>
      </c>
      <c r="B16" s="5" t="inlineStr">
        <is>
          <t>Young</t>
        </is>
      </c>
      <c r="C16" s="5" t="n">
        <v>2</v>
      </c>
      <c r="D16" s="5" t="inlineStr">
        <is>
          <t>Texas</t>
        </is>
      </c>
      <c r="E16" s="5" t="n">
        <v>2</v>
      </c>
      <c r="F16" s="5" t="n">
        <v>47172</v>
      </c>
      <c r="G16" s="5" t="inlineStr">
        <is>
          <t>Neutral</t>
        </is>
      </c>
      <c r="H16" s="5">
        <f>IF(C16=1, "Male", "Female")</f>
        <v/>
      </c>
      <c r="I16" s="5">
        <f>IF(E16=0, "No children", "At least one child")</f>
        <v/>
      </c>
      <c r="J16" s="5">
        <f>IF(F16&lt;40000, "Less than 40K", IF(F16&lt;=70000, "Between 40K and 70K", IF(F16&lt;=100000, "Between 70K and 100K", "Greater than 100K")))</f>
        <v/>
      </c>
      <c r="K16" s="5">
        <f>IF(G16="Strongly disagree", 1, IF(G16="Disagree", 2, IF(G16="Neutral", 3, IF(G16="Agree", 4, IF(G16="Strongly agree", 5, 0)))))</f>
        <v/>
      </c>
    </row>
    <row r="17">
      <c r="A17" s="5" t="n">
        <v>16</v>
      </c>
      <c r="B17" s="5" t="inlineStr">
        <is>
          <t>Middle-aged</t>
        </is>
      </c>
      <c r="C17" s="5" t="n">
        <v>2</v>
      </c>
      <c r="D17" s="5" t="inlineStr">
        <is>
          <t>Michigan</t>
        </is>
      </c>
      <c r="E17" s="5" t="n">
        <v>0</v>
      </c>
      <c r="F17" s="5" t="n">
        <v>39086</v>
      </c>
      <c r="G17" s="5" t="inlineStr">
        <is>
          <t>Disagree</t>
        </is>
      </c>
      <c r="H17" s="5">
        <f>IF(C17=1, "Male", "Female")</f>
        <v/>
      </c>
      <c r="I17" s="5">
        <f>IF(E17=0, "No children", "At least one child")</f>
        <v/>
      </c>
      <c r="J17" s="5">
        <f>IF(F17&lt;40000, "Less than 40K", IF(F17&lt;=70000, "Between 40K and 70K", IF(F17&lt;=100000, "Between 70K and 100K", "Greater than 100K")))</f>
        <v/>
      </c>
      <c r="K17" s="5">
        <f>IF(G17="Strongly disagree", 1, IF(G17="Disagree", 2, IF(G17="Neutral", 3, IF(G17="Agree", 4, IF(G17="Strongly agree", 5, 0)))))</f>
        <v/>
      </c>
    </row>
    <row r="18">
      <c r="A18" s="5" t="n">
        <v>17</v>
      </c>
      <c r="B18" s="5" t="inlineStr">
        <is>
          <t>Middle-aged</t>
        </is>
      </c>
      <c r="C18" s="5" t="n">
        <v>1</v>
      </c>
      <c r="D18" s="5" t="inlineStr">
        <is>
          <t>Texas</t>
        </is>
      </c>
      <c r="E18" s="5" t="n">
        <v>0</v>
      </c>
      <c r="F18" s="5" t="n">
        <v>126983</v>
      </c>
      <c r="G18" s="5" t="inlineStr">
        <is>
          <t>Disagree</t>
        </is>
      </c>
      <c r="H18" s="5">
        <f>IF(C18=1, "Male", "Female")</f>
        <v/>
      </c>
      <c r="I18" s="5">
        <f>IF(E18=0, "No children", "At least one child")</f>
        <v/>
      </c>
      <c r="J18" s="5">
        <f>IF(F18&lt;40000, "Less than 40K", IF(F18&lt;=70000, "Between 40K and 70K", IF(F18&lt;=100000, "Between 70K and 100K", "Greater than 100K")))</f>
        <v/>
      </c>
      <c r="K18" s="5">
        <f>IF(G18="Strongly disagree", 1, IF(G18="Disagree", 2, IF(G18="Neutral", 3, IF(G18="Agree", 4, IF(G18="Strongly agree", 5, 0)))))</f>
        <v/>
      </c>
    </row>
    <row r="19">
      <c r="A19" s="5" t="n">
        <v>18</v>
      </c>
      <c r="B19" s="5" t="inlineStr">
        <is>
          <t>Elderly</t>
        </is>
      </c>
      <c r="C19" s="5" t="n">
        <v>2</v>
      </c>
      <c r="D19" s="5" t="inlineStr">
        <is>
          <t>California</t>
        </is>
      </c>
      <c r="E19" s="5" t="n">
        <v>2</v>
      </c>
      <c r="F19" s="5" t="n">
        <v>66001</v>
      </c>
      <c r="G19" s="5" t="inlineStr">
        <is>
          <t>Neutral</t>
        </is>
      </c>
      <c r="H19" s="5">
        <f>IF(C19=1, "Male", "Female")</f>
        <v/>
      </c>
      <c r="I19" s="5">
        <f>IF(E19=0, "No children", "At least one child")</f>
        <v/>
      </c>
      <c r="J19" s="5">
        <f>IF(F19&lt;40000, "Less than 40K", IF(F19&lt;=70000, "Between 40K and 70K", IF(F19&lt;=100000, "Between 70K and 100K", "Greater than 100K")))</f>
        <v/>
      </c>
      <c r="K19" s="5">
        <f>IF(G19="Strongly disagree", 1, IF(G19="Disagree", 2, IF(G19="Neutral", 3, IF(G19="Agree", 4, IF(G19="Strongly agree", 5, 0)))))</f>
        <v/>
      </c>
    </row>
    <row r="20">
      <c r="A20" s="5" t="n">
        <v>19</v>
      </c>
      <c r="B20" s="5" t="inlineStr">
        <is>
          <t>Elderly</t>
        </is>
      </c>
      <c r="C20" s="5" t="n">
        <v>2</v>
      </c>
      <c r="D20" s="5" t="inlineStr">
        <is>
          <t>Florida</t>
        </is>
      </c>
      <c r="E20" s="5" t="n">
        <v>2</v>
      </c>
      <c r="F20" s="5" t="n">
        <v>67723</v>
      </c>
      <c r="G20" s="5" t="inlineStr">
        <is>
          <t>Disagree</t>
        </is>
      </c>
      <c r="H20" s="5">
        <f>IF(C20=1, "Male", "Female")</f>
        <v/>
      </c>
      <c r="I20" s="5">
        <f>IF(E20=0, "No children", "At least one child")</f>
        <v/>
      </c>
      <c r="J20" s="5">
        <f>IF(F20&lt;40000, "Less than 40K", IF(F20&lt;=70000, "Between 40K and 70K", IF(F20&lt;=100000, "Between 70K and 100K", "Greater than 100K")))</f>
        <v/>
      </c>
      <c r="K20" s="5">
        <f>IF(G20="Strongly disagree", 1, IF(G20="Disagree", 2, IF(G20="Neutral", 3, IF(G20="Agree", 4, IF(G20="Strongly agree", 5, 0)))))</f>
        <v/>
      </c>
    </row>
    <row r="21">
      <c r="A21" s="5" t="n">
        <v>20</v>
      </c>
      <c r="B21" s="5" t="inlineStr">
        <is>
          <t>Young</t>
        </is>
      </c>
      <c r="C21" s="5" t="n">
        <v>2</v>
      </c>
      <c r="D21" s="5" t="inlineStr">
        <is>
          <t>Illinois</t>
        </is>
      </c>
      <c r="E21" s="5" t="n">
        <v>1</v>
      </c>
      <c r="F21" s="5" t="n">
        <v>53335</v>
      </c>
      <c r="G21" s="5" t="inlineStr">
        <is>
          <t>Strongly disagree</t>
        </is>
      </c>
      <c r="H21" s="5">
        <f>IF(C21=1, "Male", "Female")</f>
        <v/>
      </c>
      <c r="I21" s="5">
        <f>IF(E21=0, "No children", "At least one child")</f>
        <v/>
      </c>
      <c r="J21" s="5">
        <f>IF(F21&lt;40000, "Less than 40K", IF(F21&lt;=70000, "Between 40K and 70K", IF(F21&lt;=100000, "Between 70K and 100K", "Greater than 100K")))</f>
        <v/>
      </c>
      <c r="K21" s="5">
        <f>IF(G21="Strongly disagree", 1, IF(G21="Disagree", 2, IF(G21="Neutral", 3, IF(G21="Agree", 4, IF(G21="Strongly agree", 5, 0)))))</f>
        <v/>
      </c>
    </row>
    <row r="22">
      <c r="A22" s="5" t="n">
        <v>21</v>
      </c>
      <c r="B22" s="5" t="inlineStr">
        <is>
          <t>Elderly</t>
        </is>
      </c>
      <c r="C22" s="5" t="n">
        <v>2</v>
      </c>
      <c r="D22" s="5" t="inlineStr">
        <is>
          <t>Florida</t>
        </is>
      </c>
      <c r="E22" s="5" t="n">
        <v>2</v>
      </c>
      <c r="F22" s="5" t="n">
        <v>67683</v>
      </c>
      <c r="G22" s="5" t="inlineStr">
        <is>
          <t>Neutral</t>
        </is>
      </c>
      <c r="H22" s="5">
        <f>IF(C22=1, "Male", "Female")</f>
        <v/>
      </c>
      <c r="I22" s="5">
        <f>IF(E22=0, "No children", "At least one child")</f>
        <v/>
      </c>
      <c r="J22" s="5">
        <f>IF(F22&lt;40000, "Less than 40K", IF(F22&lt;=70000, "Between 40K and 70K", IF(F22&lt;=100000, "Between 70K and 100K", "Greater than 100K")))</f>
        <v/>
      </c>
      <c r="K22" s="5">
        <f>IF(G22="Strongly disagree", 1, IF(G22="Disagree", 2, IF(G22="Neutral", 3, IF(G22="Agree", 4, IF(G22="Strongly agree", 5, 0)))))</f>
        <v/>
      </c>
    </row>
    <row r="23">
      <c r="A23" s="5" t="n">
        <v>22</v>
      </c>
      <c r="B23" s="5" t="inlineStr">
        <is>
          <t>Elderly</t>
        </is>
      </c>
      <c r="C23" s="5" t="n">
        <v>1</v>
      </c>
      <c r="D23" s="5" t="inlineStr">
        <is>
          <t>New York</t>
        </is>
      </c>
      <c r="E23" s="5" t="n">
        <v>3</v>
      </c>
      <c r="F23" s="5" t="n">
        <v>45483</v>
      </c>
      <c r="G23" s="5" t="inlineStr">
        <is>
          <t>Disagree</t>
        </is>
      </c>
      <c r="H23" s="5">
        <f>IF(C23=1, "Male", "Female")</f>
        <v/>
      </c>
      <c r="I23" s="5">
        <f>IF(E23=0, "No children", "At least one child")</f>
        <v/>
      </c>
      <c r="J23" s="5">
        <f>IF(F23&lt;40000, "Less than 40K", IF(F23&lt;=70000, "Between 40K and 70K", IF(F23&lt;=100000, "Between 70K and 100K", "Greater than 100K")))</f>
        <v/>
      </c>
      <c r="K23" s="5">
        <f>IF(G23="Strongly disagree", 1, IF(G23="Disagree", 2, IF(G23="Neutral", 3, IF(G23="Agree", 4, IF(G23="Strongly agree", 5, 0)))))</f>
        <v/>
      </c>
    </row>
    <row r="24">
      <c r="A24" s="5" t="n">
        <v>23</v>
      </c>
      <c r="B24" s="5" t="inlineStr">
        <is>
          <t>Elderly</t>
        </is>
      </c>
      <c r="C24" s="5" t="n">
        <v>1</v>
      </c>
      <c r="D24" s="5" t="inlineStr">
        <is>
          <t>Texas</t>
        </is>
      </c>
      <c r="E24" s="5" t="n">
        <v>0</v>
      </c>
      <c r="F24" s="5" t="n">
        <v>64364</v>
      </c>
      <c r="G24" s="5" t="inlineStr">
        <is>
          <t>Agree</t>
        </is>
      </c>
      <c r="H24" s="5">
        <f>IF(C24=1, "Male", "Female")</f>
        <v/>
      </c>
      <c r="I24" s="5">
        <f>IF(E24=0, "No children", "At least one child")</f>
        <v/>
      </c>
      <c r="J24" s="5">
        <f>IF(F24&lt;40000, "Less than 40K", IF(F24&lt;=70000, "Between 40K and 70K", IF(F24&lt;=100000, "Between 70K and 100K", "Greater than 100K")))</f>
        <v/>
      </c>
      <c r="K24" s="5">
        <f>IF(G24="Strongly disagree", 1, IF(G24="Disagree", 2, IF(G24="Neutral", 3, IF(G24="Agree", 4, IF(G24="Strongly agree", 5, 0)))))</f>
        <v/>
      </c>
    </row>
    <row r="25">
      <c r="A25" s="5" t="n">
        <v>24</v>
      </c>
      <c r="B25" s="5" t="inlineStr">
        <is>
          <t>Middle-aged</t>
        </is>
      </c>
      <c r="C25" s="5" t="n">
        <v>1</v>
      </c>
      <c r="D25" s="5" t="inlineStr">
        <is>
          <t>Florida</t>
        </is>
      </c>
      <c r="E25" s="5" t="n">
        <v>2</v>
      </c>
      <c r="F25" s="5" t="n">
        <v>102315</v>
      </c>
      <c r="G25" s="5" t="inlineStr">
        <is>
          <t>Neutral</t>
        </is>
      </c>
      <c r="H25" s="5">
        <f>IF(C25=1, "Male", "Female")</f>
        <v/>
      </c>
      <c r="I25" s="5">
        <f>IF(E25=0, "No children", "At least one child")</f>
        <v/>
      </c>
      <c r="J25" s="5">
        <f>IF(F25&lt;40000, "Less than 40K", IF(F25&lt;=70000, "Between 40K and 70K", IF(F25&lt;=100000, "Between 70K and 100K", "Greater than 100K")))</f>
        <v/>
      </c>
      <c r="K25" s="5">
        <f>IF(G25="Strongly disagree", 1, IF(G25="Disagree", 2, IF(G25="Neutral", 3, IF(G25="Agree", 4, IF(G25="Strongly agree", 5, 0)))))</f>
        <v/>
      </c>
    </row>
    <row r="26">
      <c r="A26" s="5" t="n">
        <v>25</v>
      </c>
      <c r="B26" s="5" t="inlineStr">
        <is>
          <t>Middle-aged</t>
        </is>
      </c>
      <c r="C26" s="5" t="n">
        <v>2</v>
      </c>
      <c r="D26" s="5" t="inlineStr">
        <is>
          <t>Michigan</t>
        </is>
      </c>
      <c r="E26" s="5" t="n">
        <v>2</v>
      </c>
      <c r="F26" s="5" t="n">
        <v>93370</v>
      </c>
      <c r="G26" s="5" t="inlineStr">
        <is>
          <t>Strongly agree</t>
        </is>
      </c>
      <c r="H26" s="5">
        <f>IF(C26=1, "Male", "Female")</f>
        <v/>
      </c>
      <c r="I26" s="5">
        <f>IF(E26=0, "No children", "At least one child")</f>
        <v/>
      </c>
      <c r="J26" s="5">
        <f>IF(F26&lt;40000, "Less than 40K", IF(F26&lt;=70000, "Between 40K and 70K", IF(F26&lt;=100000, "Between 70K and 100K", "Greater than 100K")))</f>
        <v/>
      </c>
      <c r="K26" s="5">
        <f>IF(G26="Strongly disagree", 1, IF(G26="Disagree", 2, IF(G26="Neutral", 3, IF(G26="Agree", 4, IF(G26="Strongly agree", 5, 0)))))</f>
        <v/>
      </c>
    </row>
    <row r="27" ht="28.8" customHeight="1">
      <c r="A27" s="5" t="n">
        <v>26</v>
      </c>
      <c r="B27" s="5" t="inlineStr">
        <is>
          <t>Middle-aged</t>
        </is>
      </c>
      <c r="C27" s="5" t="n">
        <v>2</v>
      </c>
      <c r="D27" s="5" t="inlineStr">
        <is>
          <t>Arizona</t>
        </is>
      </c>
      <c r="E27" s="5" t="n">
        <v>2</v>
      </c>
      <c r="F27" s="5" t="n">
        <v>148075</v>
      </c>
      <c r="G27" s="5" t="inlineStr">
        <is>
          <t>Disagree</t>
        </is>
      </c>
      <c r="H27" s="5">
        <f>IF(C27=1, "Male", "Female")</f>
        <v/>
      </c>
      <c r="I27" s="5">
        <f>IF(E27=0, "No children", "At least one child")</f>
        <v/>
      </c>
      <c r="J27" s="5">
        <f>IF(F27&lt;40000, "Less than 40K", IF(F27&lt;=70000, "Between 40K and 70K", IF(F27&lt;=100000, "Between 70K and 100K", "Greater than 100K")))</f>
        <v/>
      </c>
      <c r="K27" s="5">
        <f>IF(G27="Strongly disagree", 1, IF(G27="Disagree", 2, IF(G27="Neutral", 3, IF(G27="Agree", 4, IF(G27="Strongly agree", 5, 0)))))</f>
        <v/>
      </c>
    </row>
    <row r="28" ht="28.8" customHeight="1">
      <c r="A28" s="5" t="n">
        <v>27</v>
      </c>
      <c r="B28" s="5" t="inlineStr">
        <is>
          <t>Middle-aged</t>
        </is>
      </c>
      <c r="C28" s="5" t="n">
        <v>1</v>
      </c>
      <c r="D28" s="5" t="inlineStr">
        <is>
          <t>New York</t>
        </is>
      </c>
      <c r="E28" s="5" t="n">
        <v>0</v>
      </c>
      <c r="F28" s="5" t="n">
        <v>97857</v>
      </c>
      <c r="G28" s="5" t="inlineStr">
        <is>
          <t>Agree</t>
        </is>
      </c>
      <c r="H28" s="5">
        <f>IF(C28=1, "Male", "Female")</f>
        <v/>
      </c>
      <c r="I28" s="5">
        <f>IF(E28=0, "No children", "At least one child")</f>
        <v/>
      </c>
      <c r="J28" s="5">
        <f>IF(F28&lt;40000, "Less than 40K", IF(F28&lt;=70000, "Between 40K and 70K", IF(F28&lt;=100000, "Between 70K and 100K", "Greater than 100K")))</f>
        <v/>
      </c>
      <c r="K28" s="5">
        <f>IF(G28="Strongly disagree", 1, IF(G28="Disagree", 2, IF(G28="Neutral", 3, IF(G28="Agree", 4, IF(G28="Strongly agree", 5, 0)))))</f>
        <v/>
      </c>
    </row>
    <row r="29" ht="28.8" customHeight="1">
      <c r="A29" s="5" t="n">
        <v>28</v>
      </c>
      <c r="B29" s="5" t="inlineStr">
        <is>
          <t>Elderly</t>
        </is>
      </c>
      <c r="C29" s="5" t="n">
        <v>1</v>
      </c>
      <c r="D29" s="5" t="inlineStr">
        <is>
          <t>Illinois</t>
        </is>
      </c>
      <c r="E29" s="5" t="n">
        <v>2</v>
      </c>
      <c r="F29" s="5" t="n">
        <v>62929</v>
      </c>
      <c r="G29" s="5" t="inlineStr">
        <is>
          <t>Strongly agree</t>
        </is>
      </c>
      <c r="H29" s="5">
        <f>IF(C29=1, "Male", "Female")</f>
        <v/>
      </c>
      <c r="I29" s="5">
        <f>IF(E29=0, "No children", "At least one child")</f>
        <v/>
      </c>
      <c r="J29" s="5">
        <f>IF(F29&lt;40000, "Less than 40K", IF(F29&lt;=70000, "Between 40K and 70K", IF(F29&lt;=100000, "Between 70K and 100K", "Greater than 100K")))</f>
        <v/>
      </c>
      <c r="K29" s="5">
        <f>IF(G29="Strongly disagree", 1, IF(G29="Disagree", 2, IF(G29="Neutral", 3, IF(G29="Agree", 4, IF(G29="Strongly agree", 5, 0)))))</f>
        <v/>
      </c>
    </row>
    <row r="30">
      <c r="A30" s="5" t="n">
        <v>29</v>
      </c>
      <c r="B30" s="5" t="inlineStr">
        <is>
          <t>Young</t>
        </is>
      </c>
      <c r="C30" s="5" t="n">
        <v>2</v>
      </c>
      <c r="D30" s="5" t="inlineStr">
        <is>
          <t>California</t>
        </is>
      </c>
      <c r="E30" s="5" t="n">
        <v>2</v>
      </c>
      <c r="F30" s="5" t="n">
        <v>37963</v>
      </c>
      <c r="G30" s="5" t="inlineStr">
        <is>
          <t>Strongly disagree</t>
        </is>
      </c>
      <c r="H30" s="5">
        <f>IF(C30=1, "Male", "Female")</f>
        <v/>
      </c>
      <c r="I30" s="5">
        <f>IF(E30=0, "No children", "At least one child")</f>
        <v/>
      </c>
      <c r="J30" s="5">
        <f>IF(F30&lt;40000, "Less than 40K", IF(F30&lt;=70000, "Between 40K and 70K", IF(F30&lt;=100000, "Between 70K and 100K", "Greater than 100K")))</f>
        <v/>
      </c>
      <c r="K30" s="5">
        <f>IF(G30="Strongly disagree", 1, IF(G30="Disagree", 2, IF(G30="Neutral", 3, IF(G30="Agree", 4, IF(G30="Strongly agree", 5, 0)))))</f>
        <v/>
      </c>
    </row>
    <row r="31" ht="28.8" customHeight="1">
      <c r="A31" s="5" t="n">
        <v>30</v>
      </c>
      <c r="B31" s="5" t="inlineStr">
        <is>
          <t>Middle-aged</t>
        </is>
      </c>
      <c r="C31" s="5" t="n">
        <v>1</v>
      </c>
      <c r="D31" s="5" t="inlineStr">
        <is>
          <t>New York</t>
        </is>
      </c>
      <c r="E31" s="5" t="n">
        <v>0</v>
      </c>
      <c r="F31" s="5" t="n">
        <v>76476</v>
      </c>
      <c r="G31" s="5" t="inlineStr">
        <is>
          <t>Strongly agree</t>
        </is>
      </c>
      <c r="H31" s="5">
        <f>IF(C31=1, "Male", "Female")</f>
        <v/>
      </c>
      <c r="I31" s="5">
        <f>IF(E31=0, "No children", "At least one child")</f>
        <v/>
      </c>
      <c r="J31" s="5">
        <f>IF(F31&lt;40000, "Less than 40K", IF(F31&lt;=70000, "Between 40K and 70K", IF(F31&lt;=100000, "Between 70K and 100K", "Greater than 100K")))</f>
        <v/>
      </c>
      <c r="K31" s="5">
        <f>IF(G31="Strongly disagree", 1, IF(G31="Disagree", 2, IF(G31="Neutral", 3, IF(G31="Agree", 4, IF(G31="Strongly agree", 5, 0)))))</f>
        <v/>
      </c>
    </row>
    <row r="32" ht="28.8" customHeight="1">
      <c r="A32" s="5" t="n">
        <v>31</v>
      </c>
      <c r="B32" s="5" t="inlineStr">
        <is>
          <t>Middle-aged</t>
        </is>
      </c>
      <c r="C32" s="5" t="n">
        <v>2</v>
      </c>
      <c r="D32" s="5" t="inlineStr">
        <is>
          <t>Texas</t>
        </is>
      </c>
      <c r="E32" s="5" t="n">
        <v>2</v>
      </c>
      <c r="F32" s="5" t="n">
        <v>81674</v>
      </c>
      <c r="G32" s="5" t="inlineStr">
        <is>
          <t>Strongly disagree</t>
        </is>
      </c>
      <c r="H32" s="5">
        <f>IF(C32=1, "Male", "Female")</f>
        <v/>
      </c>
      <c r="I32" s="5">
        <f>IF(E32=0, "No children", "At least one child")</f>
        <v/>
      </c>
      <c r="J32" s="5">
        <f>IF(F32&lt;40000, "Less than 40K", IF(F32&lt;=70000, "Between 40K and 70K", IF(F32&lt;=100000, "Between 70K and 100K", "Greater than 100K")))</f>
        <v/>
      </c>
      <c r="K32" s="5">
        <f>IF(G32="Strongly disagree", 1, IF(G32="Disagree", 2, IF(G32="Neutral", 3, IF(G32="Agree", 4, IF(G32="Strongly agree", 5, 0)))))</f>
        <v/>
      </c>
    </row>
    <row r="33" ht="28.8" customHeight="1">
      <c r="A33" s="5" t="n">
        <v>32</v>
      </c>
      <c r="B33" s="5" t="inlineStr">
        <is>
          <t>Young</t>
        </is>
      </c>
      <c r="C33" s="5" t="n">
        <v>2</v>
      </c>
      <c r="D33" s="5" t="inlineStr">
        <is>
          <t>Virginia</t>
        </is>
      </c>
      <c r="E33" s="5" t="n">
        <v>2</v>
      </c>
      <c r="F33" s="5" t="n">
        <v>49505</v>
      </c>
      <c r="G33" s="5" t="inlineStr">
        <is>
          <t>Strongly disagree</t>
        </is>
      </c>
      <c r="H33" s="5">
        <f>IF(C33=1, "Male", "Female")</f>
        <v/>
      </c>
      <c r="I33" s="5">
        <f>IF(E33=0, "No children", "At least one child")</f>
        <v/>
      </c>
      <c r="J33" s="5">
        <f>IF(F33&lt;40000, "Less than 40K", IF(F33&lt;=70000, "Between 40K and 70K", IF(F33&lt;=100000, "Between 70K and 100K", "Greater than 100K")))</f>
        <v/>
      </c>
      <c r="K33" s="5">
        <f>IF(G33="Strongly disagree", 1, IF(G33="Disagree", 2, IF(G33="Neutral", 3, IF(G33="Agree", 4, IF(G33="Strongly agree", 5, 0)))))</f>
        <v/>
      </c>
    </row>
    <row r="34" ht="28.8" customHeight="1">
      <c r="A34" s="5" t="n">
        <v>33</v>
      </c>
      <c r="B34" s="5" t="inlineStr">
        <is>
          <t>Young</t>
        </is>
      </c>
      <c r="C34" s="5" t="n">
        <v>1</v>
      </c>
      <c r="D34" s="5" t="inlineStr">
        <is>
          <t>California</t>
        </is>
      </c>
      <c r="E34" s="5" t="n">
        <v>3</v>
      </c>
      <c r="F34" s="5" t="n">
        <v>49723</v>
      </c>
      <c r="G34" s="5" t="inlineStr">
        <is>
          <t>Strongly disagree</t>
        </is>
      </c>
      <c r="H34" s="5">
        <f>IF(C34=1, "Male", "Female")</f>
        <v/>
      </c>
      <c r="I34" s="5">
        <f>IF(E34=0, "No children", "At least one child")</f>
        <v/>
      </c>
      <c r="J34" s="5">
        <f>IF(F34&lt;40000, "Less than 40K", IF(F34&lt;=70000, "Between 40K and 70K", IF(F34&lt;=100000, "Between 70K and 100K", "Greater than 100K")))</f>
        <v/>
      </c>
      <c r="K34" s="5">
        <f>IF(G34="Strongly disagree", 1, IF(G34="Disagree", 2, IF(G34="Neutral", 3, IF(G34="Agree", 4, IF(G34="Strongly agree", 5, 0)))))</f>
        <v/>
      </c>
    </row>
    <row r="35" ht="28.8" customHeight="1">
      <c r="A35" s="5" t="n">
        <v>34</v>
      </c>
      <c r="B35" s="5" t="inlineStr">
        <is>
          <t>Elderly</t>
        </is>
      </c>
      <c r="C35" s="5" t="n">
        <v>2</v>
      </c>
      <c r="D35" s="5" t="inlineStr">
        <is>
          <t>Arizona</t>
        </is>
      </c>
      <c r="E35" s="5" t="n">
        <v>0</v>
      </c>
      <c r="F35" s="5" t="n">
        <v>81981</v>
      </c>
      <c r="G35" s="5" t="inlineStr">
        <is>
          <t>Agree</t>
        </is>
      </c>
      <c r="H35" s="5">
        <f>IF(C35=1, "Male", "Female")</f>
        <v/>
      </c>
      <c r="I35" s="5">
        <f>IF(E35=0, "No children", "At least one child")</f>
        <v/>
      </c>
      <c r="J35" s="5">
        <f>IF(F35&lt;40000, "Less than 40K", IF(F35&lt;=70000, "Between 40K and 70K", IF(F35&lt;=100000, "Between 70K and 100K", "Greater than 100K")))</f>
        <v/>
      </c>
      <c r="K35" s="5">
        <f>IF(G35="Strongly disagree", 1, IF(G35="Disagree", 2, IF(G35="Neutral", 3, IF(G35="Agree", 4, IF(G35="Strongly agree", 5, 0)))))</f>
        <v/>
      </c>
    </row>
    <row r="36" ht="28.8" customHeight="1">
      <c r="A36" s="5" t="n">
        <v>35</v>
      </c>
      <c r="B36" s="5" t="inlineStr">
        <is>
          <t>Elderly</t>
        </is>
      </c>
      <c r="C36" s="5" t="n">
        <v>2</v>
      </c>
      <c r="D36" s="5" t="inlineStr">
        <is>
          <t>Michigan</t>
        </is>
      </c>
      <c r="E36" s="5" t="n">
        <v>2</v>
      </c>
      <c r="F36" s="5" t="n">
        <v>66636</v>
      </c>
      <c r="G36" s="5" t="inlineStr">
        <is>
          <t>Agree</t>
        </is>
      </c>
      <c r="H36" s="5">
        <f>IF(C36=1, "Male", "Female")</f>
        <v/>
      </c>
      <c r="I36" s="5">
        <f>IF(E36=0, "No children", "At least one child")</f>
        <v/>
      </c>
      <c r="J36" s="5">
        <f>IF(F36&lt;40000, "Less than 40K", IF(F36&lt;=70000, "Between 40K and 70K", IF(F36&lt;=100000, "Between 70K and 100K", "Greater than 100K")))</f>
        <v/>
      </c>
      <c r="K36" s="5">
        <f>IF(G36="Strongly disagree", 1, IF(G36="Disagree", 2, IF(G36="Neutral", 3, IF(G36="Agree", 4, IF(G36="Strongly agree", 5, 0)))))</f>
        <v/>
      </c>
    </row>
    <row r="37">
      <c r="A37" s="5" t="n">
        <v>36</v>
      </c>
      <c r="B37" s="5" t="inlineStr">
        <is>
          <t>Young</t>
        </is>
      </c>
      <c r="C37" s="5" t="n">
        <v>2</v>
      </c>
      <c r="D37" s="5" t="inlineStr">
        <is>
          <t>Arizona</t>
        </is>
      </c>
      <c r="E37" s="5" t="n">
        <v>3</v>
      </c>
      <c r="F37" s="5" t="n">
        <v>39665</v>
      </c>
      <c r="G37" s="5" t="inlineStr">
        <is>
          <t>Strongly disagree</t>
        </is>
      </c>
      <c r="H37" s="5">
        <f>IF(C37=1, "Male", "Female")</f>
        <v/>
      </c>
      <c r="I37" s="5">
        <f>IF(E37=0, "No children", "At least one child")</f>
        <v/>
      </c>
      <c r="J37" s="5">
        <f>IF(F37&lt;40000, "Less than 40K", IF(F37&lt;=70000, "Between 40K and 70K", IF(F37&lt;=100000, "Between 70K and 100K", "Greater than 100K")))</f>
        <v/>
      </c>
      <c r="K37" s="5">
        <f>IF(G37="Strongly disagree", 1, IF(G37="Disagree", 2, IF(G37="Neutral", 3, IF(G37="Agree", 4, IF(G37="Strongly agree", 5, 0)))))</f>
        <v/>
      </c>
    </row>
    <row r="38" ht="28.8" customHeight="1">
      <c r="A38" s="5" t="n">
        <v>37</v>
      </c>
      <c r="B38" s="5" t="inlineStr">
        <is>
          <t>Middle-aged</t>
        </is>
      </c>
      <c r="C38" s="5" t="n">
        <v>2</v>
      </c>
      <c r="D38" s="5" t="inlineStr">
        <is>
          <t>Virginia</t>
        </is>
      </c>
      <c r="E38" s="5" t="n">
        <v>0</v>
      </c>
      <c r="F38" s="5" t="n">
        <v>102213</v>
      </c>
      <c r="G38" s="5" t="inlineStr">
        <is>
          <t>Strongly agree</t>
        </is>
      </c>
      <c r="H38" s="5">
        <f>IF(C38=1, "Male", "Female")</f>
        <v/>
      </c>
      <c r="I38" s="5">
        <f>IF(E38=0, "No children", "At least one child")</f>
        <v/>
      </c>
      <c r="J38" s="5">
        <f>IF(F38&lt;40000, "Less than 40K", IF(F38&lt;=70000, "Between 40K and 70K", IF(F38&lt;=100000, "Between 70K and 100K", "Greater than 100K")))</f>
        <v/>
      </c>
      <c r="K38" s="5">
        <f>IF(G38="Strongly disagree", 1, IF(G38="Disagree", 2, IF(G38="Neutral", 3, IF(G38="Agree", 4, IF(G38="Strongly agree", 5, 0)))))</f>
        <v/>
      </c>
    </row>
    <row r="39" ht="28.8" customHeight="1">
      <c r="A39" s="5" t="n">
        <v>38</v>
      </c>
      <c r="B39" s="5" t="inlineStr">
        <is>
          <t>Middle-aged</t>
        </is>
      </c>
      <c r="C39" s="5" t="n">
        <v>1</v>
      </c>
      <c r="D39" s="5" t="inlineStr">
        <is>
          <t>Arizona</t>
        </is>
      </c>
      <c r="E39" s="5" t="n">
        <v>0</v>
      </c>
      <c r="F39" s="5" t="n">
        <v>91650</v>
      </c>
      <c r="G39" s="5" t="inlineStr">
        <is>
          <t>Strongly agree</t>
        </is>
      </c>
      <c r="H39" s="5">
        <f>IF(C39=1, "Male", "Female")</f>
        <v/>
      </c>
      <c r="I39" s="5">
        <f>IF(E39=0, "No children", "At least one child")</f>
        <v/>
      </c>
      <c r="J39" s="5">
        <f>IF(F39&lt;40000, "Less than 40K", IF(F39&lt;=70000, "Between 40K and 70K", IF(F39&lt;=100000, "Between 70K and 100K", "Greater than 100K")))</f>
        <v/>
      </c>
      <c r="K39" s="5">
        <f>IF(G39="Strongly disagree", 1, IF(G39="Disagree", 2, IF(G39="Neutral", 3, IF(G39="Agree", 4, IF(G39="Strongly agree", 5, 0)))))</f>
        <v/>
      </c>
    </row>
    <row r="40" ht="28.8" customHeight="1">
      <c r="A40" s="5" t="n">
        <v>39</v>
      </c>
      <c r="B40" s="5" t="inlineStr">
        <is>
          <t>Middle-aged</t>
        </is>
      </c>
      <c r="C40" s="5" t="n">
        <v>1</v>
      </c>
      <c r="D40" s="5" t="inlineStr">
        <is>
          <t>Virginia</t>
        </is>
      </c>
      <c r="E40" s="5" t="n">
        <v>0</v>
      </c>
      <c r="F40" s="5" t="n">
        <v>90349</v>
      </c>
      <c r="G40" s="5" t="inlineStr">
        <is>
          <t>Agree</t>
        </is>
      </c>
      <c r="H40" s="5">
        <f>IF(C40=1, "Male", "Female")</f>
        <v/>
      </c>
      <c r="I40" s="5">
        <f>IF(E40=0, "No children", "At least one child")</f>
        <v/>
      </c>
      <c r="J40" s="5">
        <f>IF(F40&lt;40000, "Less than 40K", IF(F40&lt;=70000, "Between 40K and 70K", IF(F40&lt;=100000, "Between 70K and 100K", "Greater than 100K")))</f>
        <v/>
      </c>
      <c r="K40" s="5">
        <f>IF(G40="Strongly disagree", 1, IF(G40="Disagree", 2, IF(G40="Neutral", 3, IF(G40="Agree", 4, IF(G40="Strongly agree", 5, 0)))))</f>
        <v/>
      </c>
    </row>
    <row r="41" ht="28.8" customHeight="1">
      <c r="A41" s="5" t="n">
        <v>40</v>
      </c>
      <c r="B41" s="5" t="inlineStr">
        <is>
          <t>Young</t>
        </is>
      </c>
      <c r="C41" s="5" t="n">
        <v>2</v>
      </c>
      <c r="D41" s="5" t="inlineStr">
        <is>
          <t>Virginia</t>
        </is>
      </c>
      <c r="E41" s="5" t="n">
        <v>2</v>
      </c>
      <c r="F41" s="5" t="n">
        <v>47927</v>
      </c>
      <c r="G41" s="5" t="inlineStr">
        <is>
          <t>Disagree</t>
        </is>
      </c>
      <c r="H41" s="5">
        <f>IF(C41=1, "Male", "Female")</f>
        <v/>
      </c>
      <c r="I41" s="5">
        <f>IF(E41=0, "No children", "At least one child")</f>
        <v/>
      </c>
      <c r="J41" s="5">
        <f>IF(F41&lt;40000, "Less than 40K", IF(F41&lt;=70000, "Between 40K and 70K", IF(F41&lt;=100000, "Between 70K and 100K", "Greater than 100K")))</f>
        <v/>
      </c>
      <c r="K41" s="5">
        <f>IF(G41="Strongly disagree", 1, IF(G41="Disagree", 2, IF(G41="Neutral", 3, IF(G41="Agree", 4, IF(G41="Strongly agree", 5, 0)))))</f>
        <v/>
      </c>
    </row>
    <row r="42" ht="28.8" customHeight="1">
      <c r="A42" s="5" t="n">
        <v>41</v>
      </c>
      <c r="B42" s="5" t="inlineStr">
        <is>
          <t>Middle-aged</t>
        </is>
      </c>
      <c r="C42" s="5" t="n">
        <v>2</v>
      </c>
      <c r="D42" s="5" t="inlineStr">
        <is>
          <t>Florida</t>
        </is>
      </c>
      <c r="E42" s="5" t="n">
        <v>3</v>
      </c>
      <c r="F42" s="5" t="n">
        <v>81926</v>
      </c>
      <c r="G42" s="5" t="inlineStr">
        <is>
          <t>Neutral</t>
        </is>
      </c>
      <c r="H42" s="5">
        <f>IF(C42=1, "Male", "Female")</f>
        <v/>
      </c>
      <c r="I42" s="5">
        <f>IF(E42=0, "No children", "At least one child")</f>
        <v/>
      </c>
      <c r="J42" s="5">
        <f>IF(F42&lt;40000, "Less than 40K", IF(F42&lt;=70000, "Between 40K and 70K", IF(F42&lt;=100000, "Between 70K and 100K", "Greater than 100K")))</f>
        <v/>
      </c>
      <c r="K42" s="5">
        <f>IF(G42="Strongly disagree", 1, IF(G42="Disagree", 2, IF(G42="Neutral", 3, IF(G42="Agree", 4, IF(G42="Strongly agree", 5, 0)))))</f>
        <v/>
      </c>
    </row>
    <row r="43" ht="28.8" customHeight="1">
      <c r="A43" s="5" t="n">
        <v>42</v>
      </c>
      <c r="B43" s="5" t="inlineStr">
        <is>
          <t>Middle-aged</t>
        </is>
      </c>
      <c r="C43" s="5" t="n">
        <v>1</v>
      </c>
      <c r="D43" s="5" t="inlineStr">
        <is>
          <t>Ohio</t>
        </is>
      </c>
      <c r="E43" s="5" t="n">
        <v>0</v>
      </c>
      <c r="F43" s="5" t="n">
        <v>104032</v>
      </c>
      <c r="G43" s="5" t="inlineStr">
        <is>
          <t>Strongly disagree</t>
        </is>
      </c>
      <c r="H43" s="5">
        <f>IF(C43=1, "Male", "Female")</f>
        <v/>
      </c>
      <c r="I43" s="5">
        <f>IF(E43=0, "No children", "At least one child")</f>
        <v/>
      </c>
      <c r="J43" s="5">
        <f>IF(F43&lt;40000, "Less than 40K", IF(F43&lt;=70000, "Between 40K and 70K", IF(F43&lt;=100000, "Between 70K and 100K", "Greater than 100K")))</f>
        <v/>
      </c>
      <c r="K43" s="5">
        <f>IF(G43="Strongly disagree", 1, IF(G43="Disagree", 2, IF(G43="Neutral", 3, IF(G43="Agree", 4, IF(G43="Strongly agree", 5, 0)))))</f>
        <v/>
      </c>
    </row>
    <row r="44" ht="28.8" customHeight="1">
      <c r="A44" s="5" t="n">
        <v>43</v>
      </c>
      <c r="B44" s="5" t="inlineStr">
        <is>
          <t>Middle-aged</t>
        </is>
      </c>
      <c r="C44" s="5" t="n">
        <v>1</v>
      </c>
      <c r="D44" s="5" t="inlineStr">
        <is>
          <t>Arizona</t>
        </is>
      </c>
      <c r="E44" s="5" t="n">
        <v>2</v>
      </c>
      <c r="F44" s="5" t="n">
        <v>92590</v>
      </c>
      <c r="G44" s="5" t="inlineStr">
        <is>
          <t>Strongly disagree</t>
        </is>
      </c>
      <c r="H44" s="5">
        <f>IF(C44=1, "Male", "Female")</f>
        <v/>
      </c>
      <c r="I44" s="5">
        <f>IF(E44=0, "No children", "At least one child")</f>
        <v/>
      </c>
      <c r="J44" s="5">
        <f>IF(F44&lt;40000, "Less than 40K", IF(F44&lt;=70000, "Between 40K and 70K", IF(F44&lt;=100000, "Between 70K and 100K", "Greater than 100K")))</f>
        <v/>
      </c>
      <c r="K44" s="5">
        <f>IF(G44="Strongly disagree", 1, IF(G44="Disagree", 2, IF(G44="Neutral", 3, IF(G44="Agree", 4, IF(G44="Strongly agree", 5, 0)))))</f>
        <v/>
      </c>
    </row>
    <row r="45" ht="28.8" customHeight="1">
      <c r="A45" s="5" t="n">
        <v>44</v>
      </c>
      <c r="B45" s="5" t="inlineStr">
        <is>
          <t>Middle-aged</t>
        </is>
      </c>
      <c r="C45" s="5" t="n">
        <v>1</v>
      </c>
      <c r="D45" s="5" t="inlineStr">
        <is>
          <t>California</t>
        </is>
      </c>
      <c r="E45" s="5" t="n">
        <v>0</v>
      </c>
      <c r="F45" s="5" t="n">
        <v>62268</v>
      </c>
      <c r="G45" s="5" t="inlineStr">
        <is>
          <t>Strongly agree</t>
        </is>
      </c>
      <c r="H45" s="5">
        <f>IF(C45=1, "Male", "Female")</f>
        <v/>
      </c>
      <c r="I45" s="5">
        <f>IF(E45=0, "No children", "At least one child")</f>
        <v/>
      </c>
      <c r="J45" s="5">
        <f>IF(F45&lt;40000, "Less than 40K", IF(F45&lt;=70000, "Between 40K and 70K", IF(F45&lt;=100000, "Between 70K and 100K", "Greater than 100K")))</f>
        <v/>
      </c>
      <c r="K45" s="5">
        <f>IF(G45="Strongly disagree", 1, IF(G45="Disagree", 2, IF(G45="Neutral", 3, IF(G45="Agree", 4, IF(G45="Strongly agree", 5, 0)))))</f>
        <v/>
      </c>
    </row>
    <row r="46" ht="28.8" customHeight="1">
      <c r="A46" s="5" t="n">
        <v>45</v>
      </c>
      <c r="B46" s="5" t="inlineStr">
        <is>
          <t>Middle-aged</t>
        </is>
      </c>
      <c r="C46" s="5" t="n">
        <v>1</v>
      </c>
      <c r="D46" s="5" t="inlineStr">
        <is>
          <t>Florida</t>
        </is>
      </c>
      <c r="E46" s="5" t="n">
        <v>2</v>
      </c>
      <c r="F46" s="5" t="n">
        <v>107121</v>
      </c>
      <c r="G46" s="5" t="inlineStr">
        <is>
          <t>Strongly agree</t>
        </is>
      </c>
      <c r="H46" s="5">
        <f>IF(C46=1, "Male", "Female")</f>
        <v/>
      </c>
      <c r="I46" s="5">
        <f>IF(E46=0, "No children", "At least one child")</f>
        <v/>
      </c>
      <c r="J46" s="5">
        <f>IF(F46&lt;40000, "Less than 40K", IF(F46&lt;=70000, "Between 40K and 70K", IF(F46&lt;=100000, "Between 70K and 100K", "Greater than 100K")))</f>
        <v/>
      </c>
      <c r="K46" s="5">
        <f>IF(G46="Strongly disagree", 1, IF(G46="Disagree", 2, IF(G46="Neutral", 3, IF(G46="Agree", 4, IF(G46="Strongly agree", 5, 0)))))</f>
        <v/>
      </c>
    </row>
    <row r="47" ht="28.8" customHeight="1">
      <c r="A47" s="5" t="n">
        <v>46</v>
      </c>
      <c r="B47" s="5" t="inlineStr">
        <is>
          <t>Middle-aged</t>
        </is>
      </c>
      <c r="C47" s="5" t="n">
        <v>2</v>
      </c>
      <c r="D47" s="5" t="inlineStr">
        <is>
          <t>New York</t>
        </is>
      </c>
      <c r="E47" s="5" t="n">
        <v>3</v>
      </c>
      <c r="F47" s="5" t="n">
        <v>75368</v>
      </c>
      <c r="G47" s="5" t="inlineStr">
        <is>
          <t>Disagree</t>
        </is>
      </c>
      <c r="H47" s="5">
        <f>IF(C47=1, "Male", "Female")</f>
        <v/>
      </c>
      <c r="I47" s="5">
        <f>IF(E47=0, "No children", "At least one child")</f>
        <v/>
      </c>
      <c r="J47" s="5">
        <f>IF(F47&lt;40000, "Less than 40K", IF(F47&lt;=70000, "Between 40K and 70K", IF(F47&lt;=100000, "Between 70K and 100K", "Greater than 100K")))</f>
        <v/>
      </c>
      <c r="K47" s="5">
        <f>IF(G47="Strongly disagree", 1, IF(G47="Disagree", 2, IF(G47="Neutral", 3, IF(G47="Agree", 4, IF(G47="Strongly agree", 5, 0)))))</f>
        <v/>
      </c>
    </row>
    <row r="48" ht="28.8" customHeight="1">
      <c r="A48" s="5" t="n">
        <v>47</v>
      </c>
      <c r="B48" s="5" t="inlineStr">
        <is>
          <t>Middle-aged</t>
        </is>
      </c>
      <c r="C48" s="5" t="n">
        <v>2</v>
      </c>
      <c r="D48" s="5" t="inlineStr">
        <is>
          <t>Illinois</t>
        </is>
      </c>
      <c r="E48" s="5" t="n">
        <v>3</v>
      </c>
      <c r="F48" s="5" t="n">
        <v>120713</v>
      </c>
      <c r="G48" s="5" t="inlineStr">
        <is>
          <t>Strongly agree</t>
        </is>
      </c>
      <c r="H48" s="5">
        <f>IF(C48=1, "Male", "Female")</f>
        <v/>
      </c>
      <c r="I48" s="5">
        <f>IF(E48=0, "No children", "At least one child")</f>
        <v/>
      </c>
      <c r="J48" s="5">
        <f>IF(F48&lt;40000, "Less than 40K", IF(F48&lt;=70000, "Between 40K and 70K", IF(F48&lt;=100000, "Between 70K and 100K", "Greater than 100K")))</f>
        <v/>
      </c>
      <c r="K48" s="5">
        <f>IF(G48="Strongly disagree", 1, IF(G48="Disagree", 2, IF(G48="Neutral", 3, IF(G48="Agree", 4, IF(G48="Strongly agree", 5, 0)))))</f>
        <v/>
      </c>
    </row>
    <row r="49" ht="28.8" customHeight="1">
      <c r="A49" s="5" t="n">
        <v>48</v>
      </c>
      <c r="B49" s="5" t="inlineStr">
        <is>
          <t>Middle-aged</t>
        </is>
      </c>
      <c r="C49" s="5" t="n">
        <v>2</v>
      </c>
      <c r="D49" s="5" t="inlineStr">
        <is>
          <t>New York</t>
        </is>
      </c>
      <c r="E49" s="5" t="n">
        <v>1</v>
      </c>
      <c r="F49" s="5" t="n">
        <v>93344</v>
      </c>
      <c r="G49" s="5" t="inlineStr">
        <is>
          <t>Agree</t>
        </is>
      </c>
      <c r="H49" s="5">
        <f>IF(C49=1, "Male", "Female")</f>
        <v/>
      </c>
      <c r="I49" s="5">
        <f>IF(E49=0, "No children", "At least one child")</f>
        <v/>
      </c>
      <c r="J49" s="5">
        <f>IF(F49&lt;40000, "Less than 40K", IF(F49&lt;=70000, "Between 40K and 70K", IF(F49&lt;=100000, "Between 70K and 100K", "Greater than 100K")))</f>
        <v/>
      </c>
      <c r="K49" s="5">
        <f>IF(G49="Strongly disagree", 1, IF(G49="Disagree", 2, IF(G49="Neutral", 3, IF(G49="Agree", 4, IF(G49="Strongly agree", 5, 0)))))</f>
        <v/>
      </c>
    </row>
    <row r="50">
      <c r="A50" s="5" t="n">
        <v>49</v>
      </c>
      <c r="B50" s="5" t="inlineStr">
        <is>
          <t>Young</t>
        </is>
      </c>
      <c r="C50" s="5" t="n">
        <v>2</v>
      </c>
      <c r="D50" s="5" t="inlineStr">
        <is>
          <t>Ohio</t>
        </is>
      </c>
      <c r="E50" s="5" t="n">
        <v>0</v>
      </c>
      <c r="F50" s="5" t="n">
        <v>35629</v>
      </c>
      <c r="G50" s="5" t="inlineStr">
        <is>
          <t>Disagree</t>
        </is>
      </c>
      <c r="H50" s="5">
        <f>IF(C50=1, "Male", "Female")</f>
        <v/>
      </c>
      <c r="I50" s="5">
        <f>IF(E50=0, "No children", "At least one child")</f>
        <v/>
      </c>
      <c r="J50" s="5">
        <f>IF(F50&lt;40000, "Less than 40K", IF(F50&lt;=70000, "Between 40K and 70K", IF(F50&lt;=100000, "Between 70K and 100K", "Greater than 100K")))</f>
        <v/>
      </c>
      <c r="K50" s="5">
        <f>IF(G50="Strongly disagree", 1, IF(G50="Disagree", 2, IF(G50="Neutral", 3, IF(G50="Agree", 4, IF(G50="Strongly agree", 5, 0)))))</f>
        <v/>
      </c>
    </row>
    <row r="51" ht="28.8" customHeight="1">
      <c r="A51" s="5" t="n">
        <v>50</v>
      </c>
      <c r="B51" s="5" t="inlineStr">
        <is>
          <t>Middle-aged</t>
        </is>
      </c>
      <c r="C51" s="5" t="n">
        <v>2</v>
      </c>
      <c r="D51" s="5" t="inlineStr">
        <is>
          <t>Ohio</t>
        </is>
      </c>
      <c r="E51" s="5" t="n">
        <v>2</v>
      </c>
      <c r="F51" s="5" t="n">
        <v>122748</v>
      </c>
      <c r="G51" s="5" t="inlineStr">
        <is>
          <t>Strongly agree</t>
        </is>
      </c>
      <c r="H51" s="5">
        <f>IF(C51=1, "Male", "Female")</f>
        <v/>
      </c>
      <c r="I51" s="5">
        <f>IF(E51=0, "No children", "At least one child")</f>
        <v/>
      </c>
      <c r="J51" s="5">
        <f>IF(F51&lt;40000, "Less than 40K", IF(F51&lt;=70000, "Between 40K and 70K", IF(F51&lt;=100000, "Between 70K and 100K", "Greater than 100K")))</f>
        <v/>
      </c>
      <c r="K51" s="5">
        <f>IF(G51="Strongly disagree", 1, IF(G51="Disagree", 2, IF(G51="Neutral", 3, IF(G51="Agree", 4, IF(G51="Strongly agree", 5, 0)))))</f>
        <v/>
      </c>
    </row>
    <row r="52" ht="28.8" customHeight="1">
      <c r="A52" s="5" t="n">
        <v>51</v>
      </c>
      <c r="B52" s="5" t="inlineStr">
        <is>
          <t>Young</t>
        </is>
      </c>
      <c r="C52" s="5" t="n">
        <v>1</v>
      </c>
      <c r="D52" s="5" t="inlineStr">
        <is>
          <t>California</t>
        </is>
      </c>
      <c r="E52" s="5" t="n">
        <v>0</v>
      </c>
      <c r="F52" s="5" t="n">
        <v>41967</v>
      </c>
      <c r="G52" s="5" t="inlineStr">
        <is>
          <t>Strongly disagree</t>
        </is>
      </c>
      <c r="H52" s="5">
        <f>IF(C52=1, "Male", "Female")</f>
        <v/>
      </c>
      <c r="I52" s="5">
        <f>IF(E52=0, "No children", "At least one child")</f>
        <v/>
      </c>
      <c r="J52" s="5">
        <f>IF(F52&lt;40000, "Less than 40K", IF(F52&lt;=70000, "Between 40K and 70K", IF(F52&lt;=100000, "Between 70K and 100K", "Greater than 100K")))</f>
        <v/>
      </c>
      <c r="K52" s="5">
        <f>IF(G52="Strongly disagree", 1, IF(G52="Disagree", 2, IF(G52="Neutral", 3, IF(G52="Agree", 4, IF(G52="Strongly agree", 5, 0)))))</f>
        <v/>
      </c>
    </row>
    <row r="53" ht="28.8" customHeight="1">
      <c r="A53" s="5" t="n">
        <v>52</v>
      </c>
      <c r="B53" s="5" t="inlineStr">
        <is>
          <t>Middle-aged</t>
        </is>
      </c>
      <c r="C53" s="5" t="n">
        <v>2</v>
      </c>
      <c r="D53" s="5" t="inlineStr">
        <is>
          <t>Virginia</t>
        </is>
      </c>
      <c r="E53" s="5" t="n">
        <v>3</v>
      </c>
      <c r="F53" s="5" t="n">
        <v>63642</v>
      </c>
      <c r="G53" s="5" t="inlineStr">
        <is>
          <t>Disagree</t>
        </is>
      </c>
      <c r="H53" s="5">
        <f>IF(C53=1, "Male", "Female")</f>
        <v/>
      </c>
      <c r="I53" s="5">
        <f>IF(E53=0, "No children", "At least one child")</f>
        <v/>
      </c>
      <c r="J53" s="5">
        <f>IF(F53&lt;40000, "Less than 40K", IF(F53&lt;=70000, "Between 40K and 70K", IF(F53&lt;=100000, "Between 70K and 100K", "Greater than 100K")))</f>
        <v/>
      </c>
      <c r="K53" s="5">
        <f>IF(G53="Strongly disagree", 1, IF(G53="Disagree", 2, IF(G53="Neutral", 3, IF(G53="Agree", 4, IF(G53="Strongly agree", 5, 0)))))</f>
        <v/>
      </c>
    </row>
    <row r="54" ht="28.8" customHeight="1">
      <c r="A54" s="5" t="n">
        <v>53</v>
      </c>
      <c r="B54" s="5" t="inlineStr">
        <is>
          <t>Middle-aged</t>
        </is>
      </c>
      <c r="C54" s="5" t="n">
        <v>1</v>
      </c>
      <c r="D54" s="5" t="inlineStr">
        <is>
          <t>Michigan</t>
        </is>
      </c>
      <c r="E54" s="5" t="n">
        <v>2</v>
      </c>
      <c r="F54" s="5" t="n">
        <v>97785</v>
      </c>
      <c r="G54" s="5" t="inlineStr">
        <is>
          <t>Strongly disagree</t>
        </is>
      </c>
      <c r="H54" s="5">
        <f>IF(C54=1, "Male", "Female")</f>
        <v/>
      </c>
      <c r="I54" s="5">
        <f>IF(E54=0, "No children", "At least one child")</f>
        <v/>
      </c>
      <c r="J54" s="5">
        <f>IF(F54&lt;40000, "Less than 40K", IF(F54&lt;=70000, "Between 40K and 70K", IF(F54&lt;=100000, "Between 70K and 100K", "Greater than 100K")))</f>
        <v/>
      </c>
      <c r="K54" s="5">
        <f>IF(G54="Strongly disagree", 1, IF(G54="Disagree", 2, IF(G54="Neutral", 3, IF(G54="Agree", 4, IF(G54="Strongly agree", 5, 0)))))</f>
        <v/>
      </c>
    </row>
    <row r="55" ht="28.8" customHeight="1">
      <c r="A55" s="5" t="n">
        <v>54</v>
      </c>
      <c r="B55" s="5" t="inlineStr">
        <is>
          <t>Elderly</t>
        </is>
      </c>
      <c r="C55" s="5" t="n">
        <v>2</v>
      </c>
      <c r="D55" s="5" t="inlineStr">
        <is>
          <t>Florida</t>
        </is>
      </c>
      <c r="E55" s="5" t="n">
        <v>1</v>
      </c>
      <c r="F55" s="5" t="n">
        <v>82218</v>
      </c>
      <c r="G55" s="5" t="inlineStr">
        <is>
          <t>Neutral</t>
        </is>
      </c>
      <c r="H55" s="5">
        <f>IF(C55=1, "Male", "Female")</f>
        <v/>
      </c>
      <c r="I55" s="5">
        <f>IF(E55=0, "No children", "At least one child")</f>
        <v/>
      </c>
      <c r="J55" s="5">
        <f>IF(F55&lt;40000, "Less than 40K", IF(F55&lt;=70000, "Between 40K and 70K", IF(F55&lt;=100000, "Between 70K and 100K", "Greater than 100K")))</f>
        <v/>
      </c>
      <c r="K55" s="5">
        <f>IF(G55="Strongly disagree", 1, IF(G55="Disagree", 2, IF(G55="Neutral", 3, IF(G55="Agree", 4, IF(G55="Strongly agree", 5, 0)))))</f>
        <v/>
      </c>
    </row>
    <row r="56" ht="28.8" customHeight="1">
      <c r="A56" s="5" t="n">
        <v>55</v>
      </c>
      <c r="B56" s="5" t="inlineStr">
        <is>
          <t>Middle-aged</t>
        </is>
      </c>
      <c r="C56" s="5" t="n">
        <v>2</v>
      </c>
      <c r="D56" s="5" t="inlineStr">
        <is>
          <t>Arizona</t>
        </is>
      </c>
      <c r="E56" s="5" t="n">
        <v>2</v>
      </c>
      <c r="F56" s="5" t="n">
        <v>127638</v>
      </c>
      <c r="G56" s="5" t="inlineStr">
        <is>
          <t>Strongly disagree</t>
        </is>
      </c>
      <c r="H56" s="5">
        <f>IF(C56=1, "Male", "Female")</f>
        <v/>
      </c>
      <c r="I56" s="5">
        <f>IF(E56=0, "No children", "At least one child")</f>
        <v/>
      </c>
      <c r="J56" s="5">
        <f>IF(F56&lt;40000, "Less than 40K", IF(F56&lt;=70000, "Between 40K and 70K", IF(F56&lt;=100000, "Between 70K and 100K", "Greater than 100K")))</f>
        <v/>
      </c>
      <c r="K56" s="5">
        <f>IF(G56="Strongly disagree", 1, IF(G56="Disagree", 2, IF(G56="Neutral", 3, IF(G56="Agree", 4, IF(G56="Strongly agree", 5, 0)))))</f>
        <v/>
      </c>
    </row>
    <row r="57" ht="28.8" customHeight="1">
      <c r="A57" s="5" t="n">
        <v>56</v>
      </c>
      <c r="B57" s="5" t="inlineStr">
        <is>
          <t>Young</t>
        </is>
      </c>
      <c r="C57" s="5" t="n">
        <v>2</v>
      </c>
      <c r="D57" s="5" t="inlineStr">
        <is>
          <t>Minnesota</t>
        </is>
      </c>
      <c r="E57" s="5" t="n">
        <v>2</v>
      </c>
      <c r="F57" s="5" t="n">
        <v>55958</v>
      </c>
      <c r="G57" s="5" t="inlineStr">
        <is>
          <t>Disagree</t>
        </is>
      </c>
      <c r="H57" s="5">
        <f>IF(C57=1, "Male", "Female")</f>
        <v/>
      </c>
      <c r="I57" s="5">
        <f>IF(E57=0, "No children", "At least one child")</f>
        <v/>
      </c>
      <c r="J57" s="5">
        <f>IF(F57&lt;40000, "Less than 40K", IF(F57&lt;=70000, "Between 40K and 70K", IF(F57&lt;=100000, "Between 70K and 100K", "Greater than 100K")))</f>
        <v/>
      </c>
      <c r="K57" s="5">
        <f>IF(G57="Strongly disagree", 1, IF(G57="Disagree", 2, IF(G57="Neutral", 3, IF(G57="Agree", 4, IF(G57="Strongly agree", 5, 0)))))</f>
        <v/>
      </c>
    </row>
    <row r="58" ht="28.8" customHeight="1">
      <c r="A58" s="5" t="n">
        <v>57</v>
      </c>
      <c r="B58" s="5" t="inlineStr">
        <is>
          <t>Middle-aged</t>
        </is>
      </c>
      <c r="C58" s="5" t="n">
        <v>2</v>
      </c>
      <c r="D58" s="5" t="inlineStr">
        <is>
          <t>Texas</t>
        </is>
      </c>
      <c r="E58" s="5" t="n">
        <v>2</v>
      </c>
      <c r="F58" s="5" t="n">
        <v>73629</v>
      </c>
      <c r="G58" s="5" t="inlineStr">
        <is>
          <t>Disagree</t>
        </is>
      </c>
      <c r="H58" s="5">
        <f>IF(C58=1, "Male", "Female")</f>
        <v/>
      </c>
      <c r="I58" s="5">
        <f>IF(E58=0, "No children", "At least one child")</f>
        <v/>
      </c>
      <c r="J58" s="5">
        <f>IF(F58&lt;40000, "Less than 40K", IF(F58&lt;=70000, "Between 40K and 70K", IF(F58&lt;=100000, "Between 70K and 100K", "Greater than 100K")))</f>
        <v/>
      </c>
      <c r="K58" s="5">
        <f>IF(G58="Strongly disagree", 1, IF(G58="Disagree", 2, IF(G58="Neutral", 3, IF(G58="Agree", 4, IF(G58="Strongly agree", 5, 0)))))</f>
        <v/>
      </c>
    </row>
    <row r="59" ht="28.8" customHeight="1">
      <c r="A59" s="5" t="n">
        <v>58</v>
      </c>
      <c r="B59" s="5" t="inlineStr">
        <is>
          <t>Middle-aged</t>
        </is>
      </c>
      <c r="C59" s="5" t="n">
        <v>1</v>
      </c>
      <c r="D59" s="5" t="inlineStr">
        <is>
          <t>Florida</t>
        </is>
      </c>
      <c r="E59" s="5" t="n">
        <v>3</v>
      </c>
      <c r="F59" s="5" t="n">
        <v>127108</v>
      </c>
      <c r="G59" s="5" t="inlineStr">
        <is>
          <t>Neutral</t>
        </is>
      </c>
      <c r="H59" s="5">
        <f>IF(C59=1, "Male", "Female")</f>
        <v/>
      </c>
      <c r="I59" s="5">
        <f>IF(E59=0, "No children", "At least one child")</f>
        <v/>
      </c>
      <c r="J59" s="5">
        <f>IF(F59&lt;40000, "Less than 40K", IF(F59&lt;=70000, "Between 40K and 70K", IF(F59&lt;=100000, "Between 70K and 100K", "Greater than 100K")))</f>
        <v/>
      </c>
      <c r="K59" s="5">
        <f>IF(G59="Strongly disagree", 1, IF(G59="Disagree", 2, IF(G59="Neutral", 3, IF(G59="Agree", 4, IF(G59="Strongly agree", 5, 0)))))</f>
        <v/>
      </c>
    </row>
    <row r="60" ht="28.8" customHeight="1">
      <c r="A60" s="5" t="n">
        <v>59</v>
      </c>
      <c r="B60" s="5" t="inlineStr">
        <is>
          <t>Elderly</t>
        </is>
      </c>
      <c r="C60" s="5" t="n">
        <v>2</v>
      </c>
      <c r="D60" s="5" t="inlineStr">
        <is>
          <t>Virginia</t>
        </is>
      </c>
      <c r="E60" s="5" t="n">
        <v>0</v>
      </c>
      <c r="F60" s="5" t="n">
        <v>91767</v>
      </c>
      <c r="G60" s="5" t="inlineStr">
        <is>
          <t>Strongly disagree</t>
        </is>
      </c>
      <c r="H60" s="5">
        <f>IF(C60=1, "Male", "Female")</f>
        <v/>
      </c>
      <c r="I60" s="5">
        <f>IF(E60=0, "No children", "At least one child")</f>
        <v/>
      </c>
      <c r="J60" s="5">
        <f>IF(F60&lt;40000, "Less than 40K", IF(F60&lt;=70000, "Between 40K and 70K", IF(F60&lt;=100000, "Between 70K and 100K", "Greater than 100K")))</f>
        <v/>
      </c>
      <c r="K60" s="5">
        <f>IF(G60="Strongly disagree", 1, IF(G60="Disagree", 2, IF(G60="Neutral", 3, IF(G60="Agree", 4, IF(G60="Strongly agree", 5, 0)))))</f>
        <v/>
      </c>
    </row>
    <row r="61" ht="28.8" customHeight="1">
      <c r="A61" s="5" t="n">
        <v>60</v>
      </c>
      <c r="B61" s="5" t="inlineStr">
        <is>
          <t>Elderly</t>
        </is>
      </c>
      <c r="C61" s="5" t="n">
        <v>1</v>
      </c>
      <c r="D61" s="5" t="inlineStr">
        <is>
          <t>California</t>
        </is>
      </c>
      <c r="E61" s="5" t="n">
        <v>3</v>
      </c>
      <c r="F61" s="5" t="n">
        <v>80366</v>
      </c>
      <c r="G61" s="5" t="inlineStr">
        <is>
          <t>Strongly agree</t>
        </is>
      </c>
      <c r="H61" s="5">
        <f>IF(C61=1, "Male", "Female")</f>
        <v/>
      </c>
      <c r="I61" s="5">
        <f>IF(E61=0, "No children", "At least one child")</f>
        <v/>
      </c>
      <c r="J61" s="5">
        <f>IF(F61&lt;40000, "Less than 40K", IF(F61&lt;=70000, "Between 40K and 70K", IF(F61&lt;=100000, "Between 70K and 100K", "Greater than 100K")))</f>
        <v/>
      </c>
      <c r="K61" s="5">
        <f>IF(G61="Strongly disagree", 1, IF(G61="Disagree", 2, IF(G61="Neutral", 3, IF(G61="Agree", 4, IF(G61="Strongly agree", 5, 0)))))</f>
        <v/>
      </c>
    </row>
    <row r="62" ht="28.8" customHeight="1">
      <c r="A62" s="5" t="n">
        <v>61</v>
      </c>
      <c r="B62" s="5" t="inlineStr">
        <is>
          <t>Middle-aged</t>
        </is>
      </c>
      <c r="C62" s="5" t="n">
        <v>1</v>
      </c>
      <c r="D62" s="5" t="inlineStr">
        <is>
          <t>Texas</t>
        </is>
      </c>
      <c r="E62" s="5" t="n">
        <v>0</v>
      </c>
      <c r="F62" s="5" t="n">
        <v>109183</v>
      </c>
      <c r="G62" s="5" t="inlineStr">
        <is>
          <t>Disagree</t>
        </is>
      </c>
      <c r="H62" s="5">
        <f>IF(C62=1, "Male", "Female")</f>
        <v/>
      </c>
      <c r="I62" s="5">
        <f>IF(E62=0, "No children", "At least one child")</f>
        <v/>
      </c>
      <c r="J62" s="5">
        <f>IF(F62&lt;40000, "Less than 40K", IF(F62&lt;=70000, "Between 40K and 70K", IF(F62&lt;=100000, "Between 70K and 100K", "Greater than 100K")))</f>
        <v/>
      </c>
      <c r="K62" s="5">
        <f>IF(G62="Strongly disagree", 1, IF(G62="Disagree", 2, IF(G62="Neutral", 3, IF(G62="Agree", 4, IF(G62="Strongly agree", 5, 0)))))</f>
        <v/>
      </c>
    </row>
    <row r="63" ht="28.8" customHeight="1">
      <c r="A63" s="5" t="n">
        <v>62</v>
      </c>
      <c r="B63" s="5" t="inlineStr">
        <is>
          <t>Middle-aged</t>
        </is>
      </c>
      <c r="C63" s="5" t="n">
        <v>2</v>
      </c>
      <c r="D63" s="5" t="inlineStr">
        <is>
          <t>Ohio</t>
        </is>
      </c>
      <c r="E63" s="5" t="n">
        <v>3</v>
      </c>
      <c r="F63" s="5" t="n">
        <v>80445</v>
      </c>
      <c r="G63" s="5" t="inlineStr">
        <is>
          <t>Agree</t>
        </is>
      </c>
      <c r="H63" s="5">
        <f>IF(C63=1, "Male", "Female")</f>
        <v/>
      </c>
      <c r="I63" s="5">
        <f>IF(E63=0, "No children", "At least one child")</f>
        <v/>
      </c>
      <c r="J63" s="5">
        <f>IF(F63&lt;40000, "Less than 40K", IF(F63&lt;=70000, "Between 40K and 70K", IF(F63&lt;=100000, "Between 70K and 100K", "Greater than 100K")))</f>
        <v/>
      </c>
      <c r="K63" s="5">
        <f>IF(G63="Strongly disagree", 1, IF(G63="Disagree", 2, IF(G63="Neutral", 3, IF(G63="Agree", 4, IF(G63="Strongly agree", 5, 0)))))</f>
        <v/>
      </c>
    </row>
    <row r="64">
      <c r="A64" s="5" t="n">
        <v>63</v>
      </c>
      <c r="B64" s="5" t="inlineStr">
        <is>
          <t>Young</t>
        </is>
      </c>
      <c r="C64" s="5" t="n">
        <v>1</v>
      </c>
      <c r="D64" s="5" t="inlineStr">
        <is>
          <t>Minnesota</t>
        </is>
      </c>
      <c r="E64" s="5" t="n">
        <v>2</v>
      </c>
      <c r="F64" s="5" t="n">
        <v>30020</v>
      </c>
      <c r="G64" s="5" t="inlineStr">
        <is>
          <t>Neutral</t>
        </is>
      </c>
      <c r="H64" s="5">
        <f>IF(C64=1, "Male", "Female")</f>
        <v/>
      </c>
      <c r="I64" s="5">
        <f>IF(E64=0, "No children", "At least one child")</f>
        <v/>
      </c>
      <c r="J64" s="5">
        <f>IF(F64&lt;40000, "Less than 40K", IF(F64&lt;=70000, "Between 40K and 70K", IF(F64&lt;=100000, "Between 70K and 100K", "Greater than 100K")))</f>
        <v/>
      </c>
      <c r="K64" s="5">
        <f>IF(G64="Strongly disagree", 1, IF(G64="Disagree", 2, IF(G64="Neutral", 3, IF(G64="Agree", 4, IF(G64="Strongly agree", 5, 0)))))</f>
        <v/>
      </c>
    </row>
    <row r="65">
      <c r="A65" s="5" t="n">
        <v>64</v>
      </c>
      <c r="B65" s="5" t="inlineStr">
        <is>
          <t>Young</t>
        </is>
      </c>
      <c r="C65" s="5" t="n">
        <v>2</v>
      </c>
      <c r="D65" s="5" t="inlineStr">
        <is>
          <t>New York</t>
        </is>
      </c>
      <c r="E65" s="5" t="n">
        <v>0</v>
      </c>
      <c r="F65" s="5" t="n">
        <v>37255</v>
      </c>
      <c r="G65" s="5" t="inlineStr">
        <is>
          <t>Disagree</t>
        </is>
      </c>
      <c r="H65" s="5">
        <f>IF(C65=1, "Male", "Female")</f>
        <v/>
      </c>
      <c r="I65" s="5">
        <f>IF(E65=0, "No children", "At least one child")</f>
        <v/>
      </c>
      <c r="J65" s="5">
        <f>IF(F65&lt;40000, "Less than 40K", IF(F65&lt;=70000, "Between 40K and 70K", IF(F65&lt;=100000, "Between 70K and 100K", "Greater than 100K")))</f>
        <v/>
      </c>
      <c r="K65" s="5">
        <f>IF(G65="Strongly disagree", 1, IF(G65="Disagree", 2, IF(G65="Neutral", 3, IF(G65="Agree", 4, IF(G65="Strongly agree", 5, 0)))))</f>
        <v/>
      </c>
    </row>
    <row r="66" ht="28.8" customHeight="1">
      <c r="A66" s="5" t="n">
        <v>65</v>
      </c>
      <c r="B66" s="5" t="inlineStr">
        <is>
          <t>Middle-aged</t>
        </is>
      </c>
      <c r="C66" s="5" t="n">
        <v>1</v>
      </c>
      <c r="D66" s="5" t="inlineStr">
        <is>
          <t>New York</t>
        </is>
      </c>
      <c r="E66" s="5" t="n">
        <v>0</v>
      </c>
      <c r="F66" s="5" t="n">
        <v>96180</v>
      </c>
      <c r="G66" s="5" t="inlineStr">
        <is>
          <t>Agree</t>
        </is>
      </c>
      <c r="H66" s="5">
        <f>IF(C66=1, "Male", "Female")</f>
        <v/>
      </c>
      <c r="I66" s="5">
        <f>IF(E66=0, "No children", "At least one child")</f>
        <v/>
      </c>
      <c r="J66" s="5">
        <f>IF(F66&lt;40000, "Less than 40K", IF(F66&lt;=70000, "Between 40K and 70K", IF(F66&lt;=100000, "Between 70K and 100K", "Greater than 100K")))</f>
        <v/>
      </c>
      <c r="K66" s="5">
        <f>IF(G66="Strongly disagree", 1, IF(G66="Disagree", 2, IF(G66="Neutral", 3, IF(G66="Agree", 4, IF(G66="Strongly agree", 5, 0)))))</f>
        <v/>
      </c>
    </row>
    <row r="67" ht="28.8" customHeight="1">
      <c r="A67" s="5" t="n">
        <v>66</v>
      </c>
      <c r="B67" s="5" t="inlineStr">
        <is>
          <t>Young</t>
        </is>
      </c>
      <c r="C67" s="5" t="n">
        <v>1</v>
      </c>
      <c r="D67" s="5" t="inlineStr">
        <is>
          <t>Arizona</t>
        </is>
      </c>
      <c r="E67" s="5" t="n">
        <v>2</v>
      </c>
      <c r="F67" s="5" t="n">
        <v>45424</v>
      </c>
      <c r="G67" s="5" t="inlineStr">
        <is>
          <t>Disagree</t>
        </is>
      </c>
      <c r="H67" s="5">
        <f>IF(C67=1, "Male", "Female")</f>
        <v/>
      </c>
      <c r="I67" s="5">
        <f>IF(E67=0, "No children", "At least one child")</f>
        <v/>
      </c>
      <c r="J67" s="5">
        <f>IF(F67&lt;40000, "Less than 40K", IF(F67&lt;=70000, "Between 40K and 70K", IF(F67&lt;=100000, "Between 70K and 100K", "Greater than 100K")))</f>
        <v/>
      </c>
      <c r="K67" s="5">
        <f>IF(G67="Strongly disagree", 1, IF(G67="Disagree", 2, IF(G67="Neutral", 3, IF(G67="Agree", 4, IF(G67="Strongly agree", 5, 0)))))</f>
        <v/>
      </c>
    </row>
    <row r="68" ht="28.8" customHeight="1">
      <c r="A68" s="5" t="n">
        <v>67</v>
      </c>
      <c r="B68" s="5" t="inlineStr">
        <is>
          <t>Middle-aged</t>
        </is>
      </c>
      <c r="C68" s="5" t="n">
        <v>1</v>
      </c>
      <c r="D68" s="5" t="inlineStr">
        <is>
          <t>Illinois</t>
        </is>
      </c>
      <c r="E68" s="5" t="n">
        <v>2</v>
      </c>
      <c r="F68" s="5" t="n">
        <v>85526</v>
      </c>
      <c r="G68" s="5" t="inlineStr">
        <is>
          <t>Neutral</t>
        </is>
      </c>
      <c r="H68" s="5">
        <f>IF(C68=1, "Male", "Female")</f>
        <v/>
      </c>
      <c r="I68" s="5">
        <f>IF(E68=0, "No children", "At least one child")</f>
        <v/>
      </c>
      <c r="J68" s="5">
        <f>IF(F68&lt;40000, "Less than 40K", IF(F68&lt;=70000, "Between 40K and 70K", IF(F68&lt;=100000, "Between 70K and 100K", "Greater than 100K")))</f>
        <v/>
      </c>
      <c r="K68" s="5">
        <f>IF(G68="Strongly disagree", 1, IF(G68="Disagree", 2, IF(G68="Neutral", 3, IF(G68="Agree", 4, IF(G68="Strongly agree", 5, 0)))))</f>
        <v/>
      </c>
    </row>
    <row r="69" ht="28.8" customHeight="1">
      <c r="A69" s="5" t="n">
        <v>68</v>
      </c>
      <c r="B69" s="5" t="inlineStr">
        <is>
          <t>Elderly</t>
        </is>
      </c>
      <c r="C69" s="5" t="n">
        <v>1</v>
      </c>
      <c r="D69" s="5" t="inlineStr">
        <is>
          <t>California</t>
        </is>
      </c>
      <c r="E69" s="5" t="n">
        <v>2</v>
      </c>
      <c r="F69" s="5" t="n">
        <v>67073</v>
      </c>
      <c r="G69" s="5" t="inlineStr">
        <is>
          <t>Strongly agree</t>
        </is>
      </c>
      <c r="H69" s="5">
        <f>IF(C69=1, "Male", "Female")</f>
        <v/>
      </c>
      <c r="I69" s="5">
        <f>IF(E69=0, "No children", "At least one child")</f>
        <v/>
      </c>
      <c r="J69" s="5">
        <f>IF(F69&lt;40000, "Less than 40K", IF(F69&lt;=70000, "Between 40K and 70K", IF(F69&lt;=100000, "Between 70K and 100K", "Greater than 100K")))</f>
        <v/>
      </c>
      <c r="K69" s="5">
        <f>IF(G69="Strongly disagree", 1, IF(G69="Disagree", 2, IF(G69="Neutral", 3, IF(G69="Agree", 4, IF(G69="Strongly agree", 5, 0)))))</f>
        <v/>
      </c>
    </row>
    <row r="70" ht="28.8" customHeight="1">
      <c r="A70" s="5" t="n">
        <v>69</v>
      </c>
      <c r="B70" s="5" t="inlineStr">
        <is>
          <t>Middle-aged</t>
        </is>
      </c>
      <c r="C70" s="5" t="n">
        <v>1</v>
      </c>
      <c r="D70" s="5" t="inlineStr">
        <is>
          <t>Arizona</t>
        </is>
      </c>
      <c r="E70" s="5" t="n">
        <v>3</v>
      </c>
      <c r="F70" s="5" t="n">
        <v>127725</v>
      </c>
      <c r="G70" s="5" t="inlineStr">
        <is>
          <t>Agree</t>
        </is>
      </c>
      <c r="H70" s="5">
        <f>IF(C70=1, "Male", "Female")</f>
        <v/>
      </c>
      <c r="I70" s="5">
        <f>IF(E70=0, "No children", "At least one child")</f>
        <v/>
      </c>
      <c r="J70" s="5">
        <f>IF(F70&lt;40000, "Less than 40K", IF(F70&lt;=70000, "Between 40K and 70K", IF(F70&lt;=100000, "Between 70K and 100K", "Greater than 100K")))</f>
        <v/>
      </c>
      <c r="K70" s="5">
        <f>IF(G70="Strongly disagree", 1, IF(G70="Disagree", 2, IF(G70="Neutral", 3, IF(G70="Agree", 4, IF(G70="Strongly agree", 5, 0)))))</f>
        <v/>
      </c>
    </row>
    <row r="71" ht="28.8" customHeight="1">
      <c r="A71" s="5" t="n">
        <v>70</v>
      </c>
      <c r="B71" s="5" t="inlineStr">
        <is>
          <t>Middle-aged</t>
        </is>
      </c>
      <c r="C71" s="5" t="n">
        <v>1</v>
      </c>
      <c r="D71" s="5" t="inlineStr">
        <is>
          <t>California</t>
        </is>
      </c>
      <c r="E71" s="5" t="n">
        <v>0</v>
      </c>
      <c r="F71" s="5" t="n">
        <v>61803</v>
      </c>
      <c r="G71" s="5" t="inlineStr">
        <is>
          <t>Agree</t>
        </is>
      </c>
      <c r="H71" s="5">
        <f>IF(C71=1, "Male", "Female")</f>
        <v/>
      </c>
      <c r="I71" s="5">
        <f>IF(E71=0, "No children", "At least one child")</f>
        <v/>
      </c>
      <c r="J71" s="5">
        <f>IF(F71&lt;40000, "Less than 40K", IF(F71&lt;=70000, "Between 40K and 70K", IF(F71&lt;=100000, "Between 70K and 100K", "Greater than 100K")))</f>
        <v/>
      </c>
      <c r="K71" s="5">
        <f>IF(G71="Strongly disagree", 1, IF(G71="Disagree", 2, IF(G71="Neutral", 3, IF(G71="Agree", 4, IF(G71="Strongly agree", 5, 0)))))</f>
        <v/>
      </c>
    </row>
    <row r="72">
      <c r="A72" s="5" t="n">
        <v>71</v>
      </c>
      <c r="B72" s="5" t="inlineStr">
        <is>
          <t>Elderly</t>
        </is>
      </c>
      <c r="C72" s="5" t="n">
        <v>2</v>
      </c>
      <c r="D72" s="5" t="inlineStr">
        <is>
          <t>Texas</t>
        </is>
      </c>
      <c r="E72" s="5" t="n">
        <v>0</v>
      </c>
      <c r="F72" s="5" t="n">
        <v>34199</v>
      </c>
      <c r="G72" s="5" t="inlineStr">
        <is>
          <t>Disagree</t>
        </is>
      </c>
      <c r="H72" s="5">
        <f>IF(C72=1, "Male", "Female")</f>
        <v/>
      </c>
      <c r="I72" s="5">
        <f>IF(E72=0, "No children", "At least one child")</f>
        <v/>
      </c>
      <c r="J72" s="5">
        <f>IF(F72&lt;40000, "Less than 40K", IF(F72&lt;=70000, "Between 40K and 70K", IF(F72&lt;=100000, "Between 70K and 100K", "Greater than 100K")))</f>
        <v/>
      </c>
      <c r="K72" s="5">
        <f>IF(G72="Strongly disagree", 1, IF(G72="Disagree", 2, IF(G72="Neutral", 3, IF(G72="Agree", 4, IF(G72="Strongly agree", 5, 0)))))</f>
        <v/>
      </c>
    </row>
    <row r="73" ht="28.8" customHeight="1">
      <c r="A73" s="5" t="n">
        <v>72</v>
      </c>
      <c r="B73" s="5" t="inlineStr">
        <is>
          <t>Middle-aged</t>
        </is>
      </c>
      <c r="C73" s="5" t="n">
        <v>1</v>
      </c>
      <c r="D73" s="5" t="inlineStr">
        <is>
          <t>Virginia</t>
        </is>
      </c>
      <c r="E73" s="5" t="n">
        <v>2</v>
      </c>
      <c r="F73" s="5" t="n">
        <v>85906</v>
      </c>
      <c r="G73" s="5" t="inlineStr">
        <is>
          <t>Strongly disagree</t>
        </is>
      </c>
      <c r="H73" s="5">
        <f>IF(C73=1, "Male", "Female")</f>
        <v/>
      </c>
      <c r="I73" s="5">
        <f>IF(E73=0, "No children", "At least one child")</f>
        <v/>
      </c>
      <c r="J73" s="5">
        <f>IF(F73&lt;40000, "Less than 40K", IF(F73&lt;=70000, "Between 40K and 70K", IF(F73&lt;=100000, "Between 70K and 100K", "Greater than 100K")))</f>
        <v/>
      </c>
      <c r="K73" s="5">
        <f>IF(G73="Strongly disagree", 1, IF(G73="Disagree", 2, IF(G73="Neutral", 3, IF(G73="Agree", 4, IF(G73="Strongly agree", 5, 0)))))</f>
        <v/>
      </c>
    </row>
    <row r="74" ht="28.8" customHeight="1">
      <c r="A74" s="5" t="n">
        <v>73</v>
      </c>
      <c r="B74" s="5" t="inlineStr">
        <is>
          <t>Elderly</t>
        </is>
      </c>
      <c r="C74" s="5" t="n">
        <v>2</v>
      </c>
      <c r="D74" s="5" t="inlineStr">
        <is>
          <t>Illinois</t>
        </is>
      </c>
      <c r="E74" s="5" t="n">
        <v>3</v>
      </c>
      <c r="F74" s="5" t="n">
        <v>79877</v>
      </c>
      <c r="G74" s="5" t="inlineStr">
        <is>
          <t>Strongly agree</t>
        </is>
      </c>
      <c r="H74" s="5">
        <f>IF(C74=1, "Male", "Female")</f>
        <v/>
      </c>
      <c r="I74" s="5">
        <f>IF(E74=0, "No children", "At least one child")</f>
        <v/>
      </c>
      <c r="J74" s="5">
        <f>IF(F74&lt;40000, "Less than 40K", IF(F74&lt;=70000, "Between 40K and 70K", IF(F74&lt;=100000, "Between 70K and 100K", "Greater than 100K")))</f>
        <v/>
      </c>
      <c r="K74" s="5">
        <f>IF(G74="Strongly disagree", 1, IF(G74="Disagree", 2, IF(G74="Neutral", 3, IF(G74="Agree", 4, IF(G74="Strongly agree", 5, 0)))))</f>
        <v/>
      </c>
    </row>
    <row r="75" ht="28.8" customHeight="1">
      <c r="A75" s="5" t="n">
        <v>74</v>
      </c>
      <c r="B75" s="5" t="inlineStr">
        <is>
          <t>Middle-aged</t>
        </is>
      </c>
      <c r="C75" s="5" t="n">
        <v>2</v>
      </c>
      <c r="D75" s="5" t="inlineStr">
        <is>
          <t>Arizona</t>
        </is>
      </c>
      <c r="E75" s="5" t="n">
        <v>0</v>
      </c>
      <c r="F75" s="5" t="n">
        <v>71281</v>
      </c>
      <c r="G75" s="5" t="inlineStr">
        <is>
          <t>Strongly disagree</t>
        </is>
      </c>
      <c r="H75" s="5">
        <f>IF(C75=1, "Male", "Female")</f>
        <v/>
      </c>
      <c r="I75" s="5">
        <f>IF(E75=0, "No children", "At least one child")</f>
        <v/>
      </c>
      <c r="J75" s="5">
        <f>IF(F75&lt;40000, "Less than 40K", IF(F75&lt;=70000, "Between 40K and 70K", IF(F75&lt;=100000, "Between 70K and 100K", "Greater than 100K")))</f>
        <v/>
      </c>
      <c r="K75" s="5">
        <f>IF(G75="Strongly disagree", 1, IF(G75="Disagree", 2, IF(G75="Neutral", 3, IF(G75="Agree", 4, IF(G75="Strongly agree", 5, 0)))))</f>
        <v/>
      </c>
    </row>
    <row r="76" ht="28.8" customHeight="1">
      <c r="A76" s="5" t="n">
        <v>75</v>
      </c>
      <c r="B76" s="5" t="inlineStr">
        <is>
          <t>Young</t>
        </is>
      </c>
      <c r="C76" s="5" t="n">
        <v>2</v>
      </c>
      <c r="D76" s="5" t="inlineStr">
        <is>
          <t>Virginia</t>
        </is>
      </c>
      <c r="E76" s="5" t="n">
        <v>0</v>
      </c>
      <c r="F76" s="5" t="n">
        <v>55269</v>
      </c>
      <c r="G76" s="5" t="inlineStr">
        <is>
          <t>Strongly agree</t>
        </is>
      </c>
      <c r="H76" s="5">
        <f>IF(C76=1, "Male", "Female")</f>
        <v/>
      </c>
      <c r="I76" s="5">
        <f>IF(E76=0, "No children", "At least one child")</f>
        <v/>
      </c>
      <c r="J76" s="5">
        <f>IF(F76&lt;40000, "Less than 40K", IF(F76&lt;=70000, "Between 40K and 70K", IF(F76&lt;=100000, "Between 70K and 100K", "Greater than 100K")))</f>
        <v/>
      </c>
      <c r="K76" s="5">
        <f>IF(G76="Strongly disagree", 1, IF(G76="Disagree", 2, IF(G76="Neutral", 3, IF(G76="Agree", 4, IF(G76="Strongly agree", 5, 0)))))</f>
        <v/>
      </c>
    </row>
    <row r="77">
      <c r="A77" s="5" t="n">
        <v>76</v>
      </c>
      <c r="B77" s="5" t="inlineStr">
        <is>
          <t>Young</t>
        </is>
      </c>
      <c r="C77" s="5" t="n">
        <v>2</v>
      </c>
      <c r="D77" s="5" t="inlineStr">
        <is>
          <t>Arizona</t>
        </is>
      </c>
      <c r="E77" s="5" t="n">
        <v>2</v>
      </c>
      <c r="F77" s="5" t="n">
        <v>26600</v>
      </c>
      <c r="G77" s="5" t="inlineStr">
        <is>
          <t>Agree</t>
        </is>
      </c>
      <c r="H77" s="5">
        <f>IF(C77=1, "Male", "Female")</f>
        <v/>
      </c>
      <c r="I77" s="5">
        <f>IF(E77=0, "No children", "At least one child")</f>
        <v/>
      </c>
      <c r="J77" s="5">
        <f>IF(F77&lt;40000, "Less than 40K", IF(F77&lt;=70000, "Between 40K and 70K", IF(F77&lt;=100000, "Between 70K and 100K", "Greater than 100K")))</f>
        <v/>
      </c>
      <c r="K77" s="5">
        <f>IF(G77="Strongly disagree", 1, IF(G77="Disagree", 2, IF(G77="Neutral", 3, IF(G77="Agree", 4, IF(G77="Strongly agree", 5, 0)))))</f>
        <v/>
      </c>
    </row>
    <row r="78" ht="28.8" customHeight="1">
      <c r="A78" s="5" t="n">
        <v>77</v>
      </c>
      <c r="B78" s="5" t="inlineStr">
        <is>
          <t>Middle-aged</t>
        </is>
      </c>
      <c r="C78" s="5" t="n">
        <v>2</v>
      </c>
      <c r="D78" s="5" t="inlineStr">
        <is>
          <t>Ohio</t>
        </is>
      </c>
      <c r="E78" s="5" t="n">
        <v>2</v>
      </c>
      <c r="F78" s="5" t="n">
        <v>102900</v>
      </c>
      <c r="G78" s="5" t="inlineStr">
        <is>
          <t>Strongly disagree</t>
        </is>
      </c>
      <c r="H78" s="5">
        <f>IF(C78=1, "Male", "Female")</f>
        <v/>
      </c>
      <c r="I78" s="5">
        <f>IF(E78=0, "No children", "At least one child")</f>
        <v/>
      </c>
      <c r="J78" s="5">
        <f>IF(F78&lt;40000, "Less than 40K", IF(F78&lt;=70000, "Between 40K and 70K", IF(F78&lt;=100000, "Between 70K and 100K", "Greater than 100K")))</f>
        <v/>
      </c>
      <c r="K78" s="5">
        <f>IF(G78="Strongly disagree", 1, IF(G78="Disagree", 2, IF(G78="Neutral", 3, IF(G78="Agree", 4, IF(G78="Strongly agree", 5, 0)))))</f>
        <v/>
      </c>
    </row>
    <row r="79" ht="28.8" customHeight="1">
      <c r="A79" s="5" t="n">
        <v>78</v>
      </c>
      <c r="B79" s="5" t="inlineStr">
        <is>
          <t>Elderly</t>
        </is>
      </c>
      <c r="C79" s="5" t="n">
        <v>2</v>
      </c>
      <c r="D79" s="5" t="inlineStr">
        <is>
          <t>Virginia</t>
        </is>
      </c>
      <c r="E79" s="5" t="n">
        <v>2</v>
      </c>
      <c r="F79" s="5" t="n">
        <v>84837</v>
      </c>
      <c r="G79" s="5" t="inlineStr">
        <is>
          <t>Agree</t>
        </is>
      </c>
      <c r="H79" s="5">
        <f>IF(C79=1, "Male", "Female")</f>
        <v/>
      </c>
      <c r="I79" s="5">
        <f>IF(E79=0, "No children", "At least one child")</f>
        <v/>
      </c>
      <c r="J79" s="5">
        <f>IF(F79&lt;40000, "Less than 40K", IF(F79&lt;=70000, "Between 40K and 70K", IF(F79&lt;=100000, "Between 70K and 100K", "Greater than 100K")))</f>
        <v/>
      </c>
      <c r="K79" s="5">
        <f>IF(G79="Strongly disagree", 1, IF(G79="Disagree", 2, IF(G79="Neutral", 3, IF(G79="Agree", 4, IF(G79="Strongly agree", 5, 0)))))</f>
        <v/>
      </c>
    </row>
    <row r="80" ht="28.8" customHeight="1">
      <c r="A80" s="5" t="n">
        <v>79</v>
      </c>
      <c r="B80" s="5" t="inlineStr">
        <is>
          <t>Elderly</t>
        </is>
      </c>
      <c r="C80" s="5" t="n">
        <v>1</v>
      </c>
      <c r="D80" s="5" t="inlineStr">
        <is>
          <t>Florida</t>
        </is>
      </c>
      <c r="E80" s="5" t="n">
        <v>0</v>
      </c>
      <c r="F80" s="5" t="n">
        <v>106185</v>
      </c>
      <c r="G80" s="5" t="inlineStr">
        <is>
          <t>Strongly disagree</t>
        </is>
      </c>
      <c r="H80" s="5">
        <f>IF(C80=1, "Male", "Female")</f>
        <v/>
      </c>
      <c r="I80" s="5">
        <f>IF(E80=0, "No children", "At least one child")</f>
        <v/>
      </c>
      <c r="J80" s="5">
        <f>IF(F80&lt;40000, "Less than 40K", IF(F80&lt;=70000, "Between 40K and 70K", IF(F80&lt;=100000, "Between 70K and 100K", "Greater than 100K")))</f>
        <v/>
      </c>
      <c r="K80" s="5">
        <f>IF(G80="Strongly disagree", 1, IF(G80="Disagree", 2, IF(G80="Neutral", 3, IF(G80="Agree", 4, IF(G80="Strongly agree", 5, 0)))))</f>
        <v/>
      </c>
    </row>
    <row r="81" ht="28.8" customHeight="1">
      <c r="A81" s="5" t="n">
        <v>80</v>
      </c>
      <c r="B81" s="5" t="inlineStr">
        <is>
          <t>Young</t>
        </is>
      </c>
      <c r="C81" s="5" t="n">
        <v>1</v>
      </c>
      <c r="D81" s="5" t="inlineStr">
        <is>
          <t>Florida</t>
        </is>
      </c>
      <c r="E81" s="5" t="n">
        <v>2</v>
      </c>
      <c r="F81" s="5" t="n">
        <v>48213</v>
      </c>
      <c r="G81" s="5" t="inlineStr">
        <is>
          <t>Agree</t>
        </is>
      </c>
      <c r="H81" s="5">
        <f>IF(C81=1, "Male", "Female")</f>
        <v/>
      </c>
      <c r="I81" s="5">
        <f>IF(E81=0, "No children", "At least one child")</f>
        <v/>
      </c>
      <c r="J81" s="5">
        <f>IF(F81&lt;40000, "Less than 40K", IF(F81&lt;=70000, "Between 40K and 70K", IF(F81&lt;=100000, "Between 70K and 100K", "Greater than 100K")))</f>
        <v/>
      </c>
      <c r="K81" s="5">
        <f>IF(G81="Strongly disagree", 1, IF(G81="Disagree", 2, IF(G81="Neutral", 3, IF(G81="Agree", 4, IF(G81="Strongly agree", 5, 0)))))</f>
        <v/>
      </c>
    </row>
    <row r="82" ht="28.8" customHeight="1">
      <c r="A82" s="5" t="n">
        <v>81</v>
      </c>
      <c r="B82" s="5" t="inlineStr">
        <is>
          <t>Middle-aged</t>
        </is>
      </c>
      <c r="C82" s="5" t="n">
        <v>2</v>
      </c>
      <c r="D82" s="5" t="inlineStr">
        <is>
          <t>Illinois</t>
        </is>
      </c>
      <c r="E82" s="5" t="n">
        <v>2</v>
      </c>
      <c r="F82" s="5" t="n">
        <v>71679</v>
      </c>
      <c r="G82" s="5" t="inlineStr">
        <is>
          <t>Agree</t>
        </is>
      </c>
      <c r="H82" s="5">
        <f>IF(C82=1, "Male", "Female")</f>
        <v/>
      </c>
      <c r="I82" s="5">
        <f>IF(E82=0, "No children", "At least one child")</f>
        <v/>
      </c>
      <c r="J82" s="5">
        <f>IF(F82&lt;40000, "Less than 40K", IF(F82&lt;=70000, "Between 40K and 70K", IF(F82&lt;=100000, "Between 70K and 100K", "Greater than 100K")))</f>
        <v/>
      </c>
      <c r="K82" s="5">
        <f>IF(G82="Strongly disagree", 1, IF(G82="Disagree", 2, IF(G82="Neutral", 3, IF(G82="Agree", 4, IF(G82="Strongly agree", 5, 0)))))</f>
        <v/>
      </c>
    </row>
    <row r="83" ht="28.8" customHeight="1">
      <c r="A83" s="5" t="n">
        <v>82</v>
      </c>
      <c r="B83" s="5" t="inlineStr">
        <is>
          <t>Middle-aged</t>
        </is>
      </c>
      <c r="C83" s="5" t="n">
        <v>2</v>
      </c>
      <c r="D83" s="5" t="inlineStr">
        <is>
          <t>Florida</t>
        </is>
      </c>
      <c r="E83" s="5" t="n">
        <v>3</v>
      </c>
      <c r="F83" s="5" t="n">
        <v>74707</v>
      </c>
      <c r="G83" s="5" t="inlineStr">
        <is>
          <t>Strongly agree</t>
        </is>
      </c>
      <c r="H83" s="5">
        <f>IF(C83=1, "Male", "Female")</f>
        <v/>
      </c>
      <c r="I83" s="5">
        <f>IF(E83=0, "No children", "At least one child")</f>
        <v/>
      </c>
      <c r="J83" s="5">
        <f>IF(F83&lt;40000, "Less than 40K", IF(F83&lt;=70000, "Between 40K and 70K", IF(F83&lt;=100000, "Between 70K and 100K", "Greater than 100K")))</f>
        <v/>
      </c>
      <c r="K83" s="5">
        <f>IF(G83="Strongly disagree", 1, IF(G83="Disagree", 2, IF(G83="Neutral", 3, IF(G83="Agree", 4, IF(G83="Strongly agree", 5, 0)))))</f>
        <v/>
      </c>
    </row>
    <row r="84" ht="28.8" customHeight="1">
      <c r="A84" s="5" t="n">
        <v>83</v>
      </c>
      <c r="B84" s="5" t="inlineStr">
        <is>
          <t>Elderly</t>
        </is>
      </c>
      <c r="C84" s="5" t="n">
        <v>2</v>
      </c>
      <c r="D84" s="5" t="inlineStr">
        <is>
          <t>Florida</t>
        </is>
      </c>
      <c r="E84" s="5" t="n">
        <v>0</v>
      </c>
      <c r="F84" s="5" t="n">
        <v>80440</v>
      </c>
      <c r="G84" s="5" t="inlineStr">
        <is>
          <t>Strongly agree</t>
        </is>
      </c>
      <c r="H84" s="5">
        <f>IF(C84=1, "Male", "Female")</f>
        <v/>
      </c>
      <c r="I84" s="5">
        <f>IF(E84=0, "No children", "At least one child")</f>
        <v/>
      </c>
      <c r="J84" s="5">
        <f>IF(F84&lt;40000, "Less than 40K", IF(F84&lt;=70000, "Between 40K and 70K", IF(F84&lt;=100000, "Between 70K and 100K", "Greater than 100K")))</f>
        <v/>
      </c>
      <c r="K84" s="5">
        <f>IF(G84="Strongly disagree", 1, IF(G84="Disagree", 2, IF(G84="Neutral", 3, IF(G84="Agree", 4, IF(G84="Strongly agree", 5, 0)))))</f>
        <v/>
      </c>
    </row>
    <row r="85" ht="28.8" customHeight="1">
      <c r="A85" s="5" t="n">
        <v>84</v>
      </c>
      <c r="B85" s="5" t="inlineStr">
        <is>
          <t>Middle-aged</t>
        </is>
      </c>
      <c r="C85" s="5" t="n">
        <v>1</v>
      </c>
      <c r="D85" s="5" t="inlineStr">
        <is>
          <t>New York</t>
        </is>
      </c>
      <c r="E85" s="5" t="n">
        <v>1</v>
      </c>
      <c r="F85" s="5" t="n">
        <v>92094</v>
      </c>
      <c r="G85" s="5" t="inlineStr">
        <is>
          <t>Agree</t>
        </is>
      </c>
      <c r="H85" s="5">
        <f>IF(C85=1, "Male", "Female")</f>
        <v/>
      </c>
      <c r="I85" s="5">
        <f>IF(E85=0, "No children", "At least one child")</f>
        <v/>
      </c>
      <c r="J85" s="5">
        <f>IF(F85&lt;40000, "Less than 40K", IF(F85&lt;=70000, "Between 40K and 70K", IF(F85&lt;=100000, "Between 70K and 100K", "Greater than 100K")))</f>
        <v/>
      </c>
      <c r="K85" s="5">
        <f>IF(G85="Strongly disagree", 1, IF(G85="Disagree", 2, IF(G85="Neutral", 3, IF(G85="Agree", 4, IF(G85="Strongly agree", 5, 0)))))</f>
        <v/>
      </c>
    </row>
    <row r="86" ht="28.8" customHeight="1">
      <c r="A86" s="5" t="n">
        <v>85</v>
      </c>
      <c r="B86" s="5" t="inlineStr">
        <is>
          <t>Middle-aged</t>
        </is>
      </c>
      <c r="C86" s="5" t="n">
        <v>1</v>
      </c>
      <c r="D86" s="5" t="inlineStr">
        <is>
          <t>Florida</t>
        </is>
      </c>
      <c r="E86" s="5" t="n">
        <v>2</v>
      </c>
      <c r="F86" s="5" t="n">
        <v>54291</v>
      </c>
      <c r="G86" s="5" t="inlineStr">
        <is>
          <t>Strongly agree</t>
        </is>
      </c>
      <c r="H86" s="5">
        <f>IF(C86=1, "Male", "Female")</f>
        <v/>
      </c>
      <c r="I86" s="5">
        <f>IF(E86=0, "No children", "At least one child")</f>
        <v/>
      </c>
      <c r="J86" s="5">
        <f>IF(F86&lt;40000, "Less than 40K", IF(F86&lt;=70000, "Between 40K and 70K", IF(F86&lt;=100000, "Between 70K and 100K", "Greater than 100K")))</f>
        <v/>
      </c>
      <c r="K86" s="5">
        <f>IF(G86="Strongly disagree", 1, IF(G86="Disagree", 2, IF(G86="Neutral", 3, IF(G86="Agree", 4, IF(G86="Strongly agree", 5, 0)))))</f>
        <v/>
      </c>
    </row>
    <row r="87" ht="28.8" customHeight="1">
      <c r="A87" s="5" t="n">
        <v>86</v>
      </c>
      <c r="B87" s="5" t="inlineStr">
        <is>
          <t>Middle-aged</t>
        </is>
      </c>
      <c r="C87" s="5" t="n">
        <v>2</v>
      </c>
      <c r="D87" s="5" t="inlineStr">
        <is>
          <t>Michigan</t>
        </is>
      </c>
      <c r="E87" s="5" t="n">
        <v>2</v>
      </c>
      <c r="F87" s="5" t="n">
        <v>85534</v>
      </c>
      <c r="G87" s="5" t="inlineStr">
        <is>
          <t>Agree</t>
        </is>
      </c>
      <c r="H87" s="5">
        <f>IF(C87=1, "Male", "Female")</f>
        <v/>
      </c>
      <c r="I87" s="5">
        <f>IF(E87=0, "No children", "At least one child")</f>
        <v/>
      </c>
      <c r="J87" s="5">
        <f>IF(F87&lt;40000, "Less than 40K", IF(F87&lt;=70000, "Between 40K and 70K", IF(F87&lt;=100000, "Between 70K and 100K", "Greater than 100K")))</f>
        <v/>
      </c>
      <c r="K87" s="5">
        <f>IF(G87="Strongly disagree", 1, IF(G87="Disagree", 2, IF(G87="Neutral", 3, IF(G87="Agree", 4, IF(G87="Strongly agree", 5, 0)))))</f>
        <v/>
      </c>
    </row>
    <row r="88" ht="28.8" customHeight="1">
      <c r="A88" s="5" t="n">
        <v>87</v>
      </c>
      <c r="B88" s="5" t="inlineStr">
        <is>
          <t>Middle-aged</t>
        </is>
      </c>
      <c r="C88" s="5" t="n">
        <v>2</v>
      </c>
      <c r="D88" s="5" t="inlineStr">
        <is>
          <t>New York</t>
        </is>
      </c>
      <c r="E88" s="5" t="n">
        <v>2</v>
      </c>
      <c r="F88" s="5" t="n">
        <v>71370</v>
      </c>
      <c r="G88" s="5" t="inlineStr">
        <is>
          <t>Disagree</t>
        </is>
      </c>
      <c r="H88" s="5">
        <f>IF(C88=1, "Male", "Female")</f>
        <v/>
      </c>
      <c r="I88" s="5">
        <f>IF(E88=0, "No children", "At least one child")</f>
        <v/>
      </c>
      <c r="J88" s="5">
        <f>IF(F88&lt;40000, "Less than 40K", IF(F88&lt;=70000, "Between 40K and 70K", IF(F88&lt;=100000, "Between 70K and 100K", "Greater than 100K")))</f>
        <v/>
      </c>
      <c r="K88" s="5">
        <f>IF(G88="Strongly disagree", 1, IF(G88="Disagree", 2, IF(G88="Neutral", 3, IF(G88="Agree", 4, IF(G88="Strongly agree", 5, 0)))))</f>
        <v/>
      </c>
    </row>
    <row r="89">
      <c r="A89" s="5" t="n">
        <v>88</v>
      </c>
      <c r="B89" s="5" t="inlineStr">
        <is>
          <t>Young</t>
        </is>
      </c>
      <c r="C89" s="5" t="n">
        <v>2</v>
      </c>
      <c r="D89" s="5" t="inlineStr">
        <is>
          <t>Ohio</t>
        </is>
      </c>
      <c r="E89" s="5" t="n">
        <v>2</v>
      </c>
      <c r="F89" s="5" t="n">
        <v>39733</v>
      </c>
      <c r="G89" s="5" t="inlineStr">
        <is>
          <t>Neutral</t>
        </is>
      </c>
      <c r="H89" s="5">
        <f>IF(C89=1, "Male", "Female")</f>
        <v/>
      </c>
      <c r="I89" s="5">
        <f>IF(E89=0, "No children", "At least one child")</f>
        <v/>
      </c>
      <c r="J89" s="5">
        <f>IF(F89&lt;40000, "Less than 40K", IF(F89&lt;=70000, "Between 40K and 70K", IF(F89&lt;=100000, "Between 70K and 100K", "Greater than 100K")))</f>
        <v/>
      </c>
      <c r="K89" s="5">
        <f>IF(G89="Strongly disagree", 1, IF(G89="Disagree", 2, IF(G89="Neutral", 3, IF(G89="Agree", 4, IF(G89="Strongly agree", 5, 0)))))</f>
        <v/>
      </c>
    </row>
    <row r="90" ht="28.8" customHeight="1">
      <c r="A90" s="5" t="n">
        <v>89</v>
      </c>
      <c r="B90" s="5" t="inlineStr">
        <is>
          <t>Elderly</t>
        </is>
      </c>
      <c r="C90" s="5" t="n">
        <v>2</v>
      </c>
      <c r="D90" s="5" t="inlineStr">
        <is>
          <t>Michigan</t>
        </is>
      </c>
      <c r="E90" s="5" t="n">
        <v>0</v>
      </c>
      <c r="F90" s="5" t="n">
        <v>59892</v>
      </c>
      <c r="G90" s="5" t="inlineStr">
        <is>
          <t>Strongly disagree</t>
        </is>
      </c>
      <c r="H90" s="5">
        <f>IF(C90=1, "Male", "Female")</f>
        <v/>
      </c>
      <c r="I90" s="5">
        <f>IF(E90=0, "No children", "At least one child")</f>
        <v/>
      </c>
      <c r="J90" s="5">
        <f>IF(F90&lt;40000, "Less than 40K", IF(F90&lt;=70000, "Between 40K and 70K", IF(F90&lt;=100000, "Between 70K and 100K", "Greater than 100K")))</f>
        <v/>
      </c>
      <c r="K90" s="5">
        <f>IF(G90="Strongly disagree", 1, IF(G90="Disagree", 2, IF(G90="Neutral", 3, IF(G90="Agree", 4, IF(G90="Strongly agree", 5, 0)))))</f>
        <v/>
      </c>
    </row>
    <row r="91">
      <c r="A91" s="5" t="n">
        <v>90</v>
      </c>
      <c r="B91" s="5" t="inlineStr">
        <is>
          <t>Young</t>
        </is>
      </c>
      <c r="C91" s="5" t="n">
        <v>2</v>
      </c>
      <c r="D91" s="5" t="inlineStr">
        <is>
          <t>Virginia</t>
        </is>
      </c>
      <c r="E91" s="5" t="n">
        <v>2</v>
      </c>
      <c r="F91" s="5" t="n">
        <v>38097</v>
      </c>
      <c r="G91" s="5" t="inlineStr">
        <is>
          <t>Strongly agree</t>
        </is>
      </c>
      <c r="H91" s="5">
        <f>IF(C91=1, "Male", "Female")</f>
        <v/>
      </c>
      <c r="I91" s="5">
        <f>IF(E91=0, "No children", "At least one child")</f>
        <v/>
      </c>
      <c r="J91" s="5">
        <f>IF(F91&lt;40000, "Less than 40K", IF(F91&lt;=70000, "Between 40K and 70K", IF(F91&lt;=100000, "Between 70K and 100K", "Greater than 100K")))</f>
        <v/>
      </c>
      <c r="K91" s="5">
        <f>IF(G91="Strongly disagree", 1, IF(G91="Disagree", 2, IF(G91="Neutral", 3, IF(G91="Agree", 4, IF(G91="Strongly agree", 5, 0)))))</f>
        <v/>
      </c>
    </row>
    <row r="92" ht="28.8" customHeight="1">
      <c r="A92" s="5" t="n">
        <v>91</v>
      </c>
      <c r="B92" s="5" t="inlineStr">
        <is>
          <t>Middle-aged</t>
        </is>
      </c>
      <c r="C92" s="5" t="n">
        <v>2</v>
      </c>
      <c r="D92" s="5" t="inlineStr">
        <is>
          <t>Texas</t>
        </is>
      </c>
      <c r="E92" s="5" t="n">
        <v>2</v>
      </c>
      <c r="F92" s="5" t="n">
        <v>144884</v>
      </c>
      <c r="G92" s="5" t="inlineStr">
        <is>
          <t>Strongly disagree</t>
        </is>
      </c>
      <c r="H92" s="5">
        <f>IF(C92=1, "Male", "Female")</f>
        <v/>
      </c>
      <c r="I92" s="5">
        <f>IF(E92=0, "No children", "At least one child")</f>
        <v/>
      </c>
      <c r="J92" s="5">
        <f>IF(F92&lt;40000, "Less than 40K", IF(F92&lt;=70000, "Between 40K and 70K", IF(F92&lt;=100000, "Between 70K and 100K", "Greater than 100K")))</f>
        <v/>
      </c>
      <c r="K92" s="5">
        <f>IF(G92="Strongly disagree", 1, IF(G92="Disagree", 2, IF(G92="Neutral", 3, IF(G92="Agree", 4, IF(G92="Strongly agree", 5, 0)))))</f>
        <v/>
      </c>
    </row>
    <row r="93" ht="28.8" customHeight="1">
      <c r="A93" s="5" t="n">
        <v>92</v>
      </c>
      <c r="B93" s="5" t="inlineStr">
        <is>
          <t>Young</t>
        </is>
      </c>
      <c r="C93" s="5" t="n">
        <v>2</v>
      </c>
      <c r="D93" s="5" t="inlineStr">
        <is>
          <t>California</t>
        </is>
      </c>
      <c r="E93" s="5" t="n">
        <v>3</v>
      </c>
      <c r="F93" s="5" t="n">
        <v>48251</v>
      </c>
      <c r="G93" s="5" t="inlineStr">
        <is>
          <t>Strongly disagree</t>
        </is>
      </c>
      <c r="H93" s="5">
        <f>IF(C93=1, "Male", "Female")</f>
        <v/>
      </c>
      <c r="I93" s="5">
        <f>IF(E93=0, "No children", "At least one child")</f>
        <v/>
      </c>
      <c r="J93" s="5">
        <f>IF(F93&lt;40000, "Less than 40K", IF(F93&lt;=70000, "Between 40K and 70K", IF(F93&lt;=100000, "Between 70K and 100K", "Greater than 100K")))</f>
        <v/>
      </c>
      <c r="K93" s="5">
        <f>IF(G93="Strongly disagree", 1, IF(G93="Disagree", 2, IF(G93="Neutral", 3, IF(G93="Agree", 4, IF(G93="Strongly agree", 5, 0)))))</f>
        <v/>
      </c>
    </row>
    <row r="94" ht="28.8" customHeight="1">
      <c r="A94" s="5" t="n">
        <v>93</v>
      </c>
      <c r="B94" s="5" t="inlineStr">
        <is>
          <t>Middle-aged</t>
        </is>
      </c>
      <c r="C94" s="5" t="n">
        <v>1</v>
      </c>
      <c r="D94" s="5" t="inlineStr">
        <is>
          <t>Texas</t>
        </is>
      </c>
      <c r="E94" s="5" t="n">
        <v>0</v>
      </c>
      <c r="F94" s="5" t="n">
        <v>91778</v>
      </c>
      <c r="G94" s="5" t="inlineStr">
        <is>
          <t>Agree</t>
        </is>
      </c>
      <c r="H94" s="5">
        <f>IF(C94=1, "Male", "Female")</f>
        <v/>
      </c>
      <c r="I94" s="5">
        <f>IF(E94=0, "No children", "At least one child")</f>
        <v/>
      </c>
      <c r="J94" s="5">
        <f>IF(F94&lt;40000, "Less than 40K", IF(F94&lt;=70000, "Between 40K and 70K", IF(F94&lt;=100000, "Between 70K and 100K", "Greater than 100K")))</f>
        <v/>
      </c>
      <c r="K94" s="5">
        <f>IF(G94="Strongly disagree", 1, IF(G94="Disagree", 2, IF(G94="Neutral", 3, IF(G94="Agree", 4, IF(G94="Strongly agree", 5, 0)))))</f>
        <v/>
      </c>
    </row>
    <row r="95" ht="28.8" customHeight="1">
      <c r="A95" s="5" t="n">
        <v>94</v>
      </c>
      <c r="B95" s="5" t="inlineStr">
        <is>
          <t>Middle-aged</t>
        </is>
      </c>
      <c r="C95" s="5" t="n">
        <v>1</v>
      </c>
      <c r="D95" s="5" t="inlineStr">
        <is>
          <t>Illinois</t>
        </is>
      </c>
      <c r="E95" s="5" t="n">
        <v>0</v>
      </c>
      <c r="F95" s="5" t="n">
        <v>96961</v>
      </c>
      <c r="G95" s="5" t="inlineStr">
        <is>
          <t>Strongly disagree</t>
        </is>
      </c>
      <c r="H95" s="5">
        <f>IF(C95=1, "Male", "Female")</f>
        <v/>
      </c>
      <c r="I95" s="5">
        <f>IF(E95=0, "No children", "At least one child")</f>
        <v/>
      </c>
      <c r="J95" s="5">
        <f>IF(F95&lt;40000, "Less than 40K", IF(F95&lt;=70000, "Between 40K and 70K", IF(F95&lt;=100000, "Between 70K and 100K", "Greater than 100K")))</f>
        <v/>
      </c>
      <c r="K95" s="5">
        <f>IF(G95="Strongly disagree", 1, IF(G95="Disagree", 2, IF(G95="Neutral", 3, IF(G95="Agree", 4, IF(G95="Strongly agree", 5, 0)))))</f>
        <v/>
      </c>
    </row>
    <row r="96" ht="28.8" customHeight="1">
      <c r="A96" s="5" t="n">
        <v>95</v>
      </c>
      <c r="B96" s="5" t="inlineStr">
        <is>
          <t>Elderly</t>
        </is>
      </c>
      <c r="C96" s="5" t="n">
        <v>2</v>
      </c>
      <c r="D96" s="5" t="inlineStr">
        <is>
          <t>Texas</t>
        </is>
      </c>
      <c r="E96" s="5" t="n">
        <v>2</v>
      </c>
      <c r="F96" s="5" t="n">
        <v>83939</v>
      </c>
      <c r="G96" s="5" t="inlineStr">
        <is>
          <t>Disagree</t>
        </is>
      </c>
      <c r="H96" s="5">
        <f>IF(C96=1, "Male", "Female")</f>
        <v/>
      </c>
      <c r="I96" s="5">
        <f>IF(E96=0, "No children", "At least one child")</f>
        <v/>
      </c>
      <c r="J96" s="5">
        <f>IF(F96&lt;40000, "Less than 40K", IF(F96&lt;=70000, "Between 40K and 70K", IF(F96&lt;=100000, "Between 70K and 100K", "Greater than 100K")))</f>
        <v/>
      </c>
      <c r="K96" s="5">
        <f>IF(G96="Strongly disagree", 1, IF(G96="Disagree", 2, IF(G96="Neutral", 3, IF(G96="Agree", 4, IF(G96="Strongly agree", 5, 0)))))</f>
        <v/>
      </c>
    </row>
    <row r="97" ht="28.8" customHeight="1">
      <c r="A97" s="5" t="n">
        <v>96</v>
      </c>
      <c r="B97" s="5" t="inlineStr">
        <is>
          <t>Young</t>
        </is>
      </c>
      <c r="C97" s="5" t="n">
        <v>2</v>
      </c>
      <c r="D97" s="5" t="inlineStr">
        <is>
          <t>Ohio</t>
        </is>
      </c>
      <c r="E97" s="5" t="n">
        <v>2</v>
      </c>
      <c r="F97" s="5" t="n">
        <v>41734</v>
      </c>
      <c r="G97" s="5" t="inlineStr">
        <is>
          <t>Neutral</t>
        </is>
      </c>
      <c r="H97" s="5">
        <f>IF(C97=1, "Male", "Female")</f>
        <v/>
      </c>
      <c r="I97" s="5">
        <f>IF(E97=0, "No children", "At least one child")</f>
        <v/>
      </c>
      <c r="J97" s="5">
        <f>IF(F97&lt;40000, "Less than 40K", IF(F97&lt;=70000, "Between 40K and 70K", IF(F97&lt;=100000, "Between 70K and 100K", "Greater than 100K")))</f>
        <v/>
      </c>
      <c r="K97" s="5">
        <f>IF(G97="Strongly disagree", 1, IF(G97="Disagree", 2, IF(G97="Neutral", 3, IF(G97="Agree", 4, IF(G97="Strongly agree", 5, 0)))))</f>
        <v/>
      </c>
    </row>
    <row r="98" ht="28.8" customHeight="1">
      <c r="A98" s="5" t="n">
        <v>97</v>
      </c>
      <c r="B98" s="5" t="inlineStr">
        <is>
          <t>Middle-aged</t>
        </is>
      </c>
      <c r="C98" s="5" t="n">
        <v>2</v>
      </c>
      <c r="D98" s="5" t="inlineStr">
        <is>
          <t>Texas</t>
        </is>
      </c>
      <c r="E98" s="5" t="n">
        <v>3</v>
      </c>
      <c r="F98" s="5" t="n">
        <v>148408</v>
      </c>
      <c r="G98" s="5" t="inlineStr">
        <is>
          <t>Strongly agree</t>
        </is>
      </c>
      <c r="H98" s="5">
        <f>IF(C98=1, "Male", "Female")</f>
        <v/>
      </c>
      <c r="I98" s="5">
        <f>IF(E98=0, "No children", "At least one child")</f>
        <v/>
      </c>
      <c r="J98" s="5">
        <f>IF(F98&lt;40000, "Less than 40K", IF(F98&lt;=70000, "Between 40K and 70K", IF(F98&lt;=100000, "Between 70K and 100K", "Greater than 100K")))</f>
        <v/>
      </c>
      <c r="K98" s="5">
        <f>IF(G98="Strongly disagree", 1, IF(G98="Disagree", 2, IF(G98="Neutral", 3, IF(G98="Agree", 4, IF(G98="Strongly agree", 5, 0)))))</f>
        <v/>
      </c>
    </row>
    <row r="99" ht="28.8" customHeight="1">
      <c r="A99" s="5" t="n">
        <v>98</v>
      </c>
      <c r="B99" s="5" t="inlineStr">
        <is>
          <t>Middle-aged</t>
        </is>
      </c>
      <c r="C99" s="5" t="n">
        <v>2</v>
      </c>
      <c r="D99" s="5" t="inlineStr">
        <is>
          <t>California</t>
        </is>
      </c>
      <c r="E99" s="5" t="n">
        <v>0</v>
      </c>
      <c r="F99" s="5" t="n">
        <v>79709</v>
      </c>
      <c r="G99" s="5" t="inlineStr">
        <is>
          <t>Neutral</t>
        </is>
      </c>
      <c r="H99" s="5">
        <f>IF(C99=1, "Male", "Female")</f>
        <v/>
      </c>
      <c r="I99" s="5">
        <f>IF(E99=0, "No children", "At least one child")</f>
        <v/>
      </c>
      <c r="J99" s="5">
        <f>IF(F99&lt;40000, "Less than 40K", IF(F99&lt;=70000, "Between 40K and 70K", IF(F99&lt;=100000, "Between 70K and 100K", "Greater than 100K")))</f>
        <v/>
      </c>
      <c r="K99" s="5">
        <f>IF(G99="Strongly disagree", 1, IF(G99="Disagree", 2, IF(G99="Neutral", 3, IF(G99="Agree", 4, IF(G99="Strongly agree", 5, 0)))))</f>
        <v/>
      </c>
    </row>
    <row r="100" ht="28.8" customHeight="1">
      <c r="A100" s="5" t="n">
        <v>99</v>
      </c>
      <c r="B100" s="5" t="inlineStr">
        <is>
          <t>Middle-aged</t>
        </is>
      </c>
      <c r="C100" s="5" t="n">
        <v>1</v>
      </c>
      <c r="D100" s="5" t="inlineStr">
        <is>
          <t>Minnesota</t>
        </is>
      </c>
      <c r="E100" s="5" t="n">
        <v>0</v>
      </c>
      <c r="F100" s="5" t="n">
        <v>86896</v>
      </c>
      <c r="G100" s="5" t="inlineStr">
        <is>
          <t>Strongly disagree</t>
        </is>
      </c>
      <c r="H100" s="5">
        <f>IF(C100=1, "Male", "Female")</f>
        <v/>
      </c>
      <c r="I100" s="5">
        <f>IF(E100=0, "No children", "At least one child")</f>
        <v/>
      </c>
      <c r="J100" s="5">
        <f>IF(F100&lt;40000, "Less than 40K", IF(F100&lt;=70000, "Between 40K and 70K", IF(F100&lt;=100000, "Between 70K and 100K", "Greater than 100K")))</f>
        <v/>
      </c>
      <c r="K100" s="5">
        <f>IF(G100="Strongly disagree", 1, IF(G100="Disagree", 2, IF(G100="Neutral", 3, IF(G100="Agree", 4, IF(G100="Strongly agree", 5, 0)))))</f>
        <v/>
      </c>
    </row>
    <row r="101" ht="28.8" customHeight="1">
      <c r="A101" s="5" t="n">
        <v>100</v>
      </c>
      <c r="B101" s="5" t="inlineStr">
        <is>
          <t>Middle-aged</t>
        </is>
      </c>
      <c r="C101" s="5" t="n">
        <v>2</v>
      </c>
      <c r="D101" s="5" t="inlineStr">
        <is>
          <t>New York</t>
        </is>
      </c>
      <c r="E101" s="5" t="n">
        <v>2</v>
      </c>
      <c r="F101" s="5" t="n">
        <v>86913</v>
      </c>
      <c r="G101" s="5" t="inlineStr">
        <is>
          <t>Strongly disagree</t>
        </is>
      </c>
      <c r="H101" s="5">
        <f>IF(C101=1, "Male", "Female")</f>
        <v/>
      </c>
      <c r="I101" s="5">
        <f>IF(E101=0, "No children", "At least one child")</f>
        <v/>
      </c>
      <c r="J101" s="5">
        <f>IF(F101&lt;40000, "Less than 40K", IF(F101&lt;=70000, "Between 40K and 70K", IF(F101&lt;=100000, "Between 70K and 100K", "Greater than 100K")))</f>
        <v/>
      </c>
      <c r="K101" s="5">
        <f>IF(G101="Strongly disagree", 1, IF(G101="Disagree", 2, IF(G101="Neutral", 3, IF(G101="Agree", 4, IF(G101="Strongly agree", 5, 0)))))</f>
        <v/>
      </c>
    </row>
    <row r="102" ht="28.8" customHeight="1">
      <c r="A102" s="5" t="n">
        <v>101</v>
      </c>
      <c r="B102" s="5" t="inlineStr">
        <is>
          <t>Young</t>
        </is>
      </c>
      <c r="C102" s="5" t="n">
        <v>2</v>
      </c>
      <c r="D102" s="5" t="inlineStr">
        <is>
          <t>Arizona</t>
        </is>
      </c>
      <c r="E102" s="5" t="n">
        <v>2</v>
      </c>
      <c r="F102" s="5" t="n">
        <v>43267</v>
      </c>
      <c r="G102" s="5" t="inlineStr">
        <is>
          <t>Strongly agree</t>
        </is>
      </c>
      <c r="H102" s="5">
        <f>IF(C102=1, "Male", "Female")</f>
        <v/>
      </c>
      <c r="I102" s="5">
        <f>IF(E102=0, "No children", "At least one child")</f>
        <v/>
      </c>
      <c r="J102" s="5">
        <f>IF(F102&lt;40000, "Less than 40K", IF(F102&lt;=70000, "Between 40K and 70K", IF(F102&lt;=100000, "Between 70K and 100K", "Greater than 100K")))</f>
        <v/>
      </c>
      <c r="K102" s="5">
        <f>IF(G102="Strongly disagree", 1, IF(G102="Disagree", 2, IF(G102="Neutral", 3, IF(G102="Agree", 4, IF(G102="Strongly agree", 5, 0)))))</f>
        <v/>
      </c>
    </row>
    <row r="103" ht="28.8" customHeight="1">
      <c r="A103" s="5" t="n">
        <v>102</v>
      </c>
      <c r="B103" s="5" t="inlineStr">
        <is>
          <t>Elderly</t>
        </is>
      </c>
      <c r="C103" s="5" t="n">
        <v>2</v>
      </c>
      <c r="D103" s="5" t="inlineStr">
        <is>
          <t>Virginia</t>
        </is>
      </c>
      <c r="E103" s="5" t="n">
        <v>0</v>
      </c>
      <c r="F103" s="5" t="n">
        <v>88636</v>
      </c>
      <c r="G103" s="5" t="inlineStr">
        <is>
          <t>Strongly agree</t>
        </is>
      </c>
      <c r="H103" s="5">
        <f>IF(C103=1, "Male", "Female")</f>
        <v/>
      </c>
      <c r="I103" s="5">
        <f>IF(E103=0, "No children", "At least one child")</f>
        <v/>
      </c>
      <c r="J103" s="5">
        <f>IF(F103&lt;40000, "Less than 40K", IF(F103&lt;=70000, "Between 40K and 70K", IF(F103&lt;=100000, "Between 70K and 100K", "Greater than 100K")))</f>
        <v/>
      </c>
      <c r="K103" s="5">
        <f>IF(G103="Strongly disagree", 1, IF(G103="Disagree", 2, IF(G103="Neutral", 3, IF(G103="Agree", 4, IF(G103="Strongly agree", 5, 0)))))</f>
        <v/>
      </c>
    </row>
    <row r="104" ht="28.8" customHeight="1">
      <c r="A104" s="5" t="n">
        <v>103</v>
      </c>
      <c r="B104" s="5" t="inlineStr">
        <is>
          <t>Middle-aged</t>
        </is>
      </c>
      <c r="C104" s="5" t="n">
        <v>1</v>
      </c>
      <c r="D104" s="5" t="inlineStr">
        <is>
          <t>Illinois</t>
        </is>
      </c>
      <c r="E104" s="5" t="n">
        <v>1</v>
      </c>
      <c r="F104" s="5" t="n">
        <v>111391</v>
      </c>
      <c r="G104" s="5" t="inlineStr">
        <is>
          <t>Neutral</t>
        </is>
      </c>
      <c r="H104" s="5">
        <f>IF(C104=1, "Male", "Female")</f>
        <v/>
      </c>
      <c r="I104" s="5">
        <f>IF(E104=0, "No children", "At least one child")</f>
        <v/>
      </c>
      <c r="J104" s="5">
        <f>IF(F104&lt;40000, "Less than 40K", IF(F104&lt;=70000, "Between 40K and 70K", IF(F104&lt;=100000, "Between 70K and 100K", "Greater than 100K")))</f>
        <v/>
      </c>
      <c r="K104" s="5">
        <f>IF(G104="Strongly disagree", 1, IF(G104="Disagree", 2, IF(G104="Neutral", 3, IF(G104="Agree", 4, IF(G104="Strongly agree", 5, 0)))))</f>
        <v/>
      </c>
    </row>
    <row r="105" ht="28.8" customHeight="1">
      <c r="A105" s="5" t="n">
        <v>104</v>
      </c>
      <c r="B105" s="5" t="inlineStr">
        <is>
          <t>Middle-aged</t>
        </is>
      </c>
      <c r="C105" s="5" t="n">
        <v>1</v>
      </c>
      <c r="D105" s="5" t="inlineStr">
        <is>
          <t>Texas</t>
        </is>
      </c>
      <c r="E105" s="5" t="n">
        <v>2</v>
      </c>
      <c r="F105" s="5" t="n">
        <v>85110</v>
      </c>
      <c r="G105" s="5" t="inlineStr">
        <is>
          <t>Disagree</t>
        </is>
      </c>
      <c r="H105" s="5">
        <f>IF(C105=1, "Male", "Female")</f>
        <v/>
      </c>
      <c r="I105" s="5">
        <f>IF(E105=0, "No children", "At least one child")</f>
        <v/>
      </c>
      <c r="J105" s="5">
        <f>IF(F105&lt;40000, "Less than 40K", IF(F105&lt;=70000, "Between 40K and 70K", IF(F105&lt;=100000, "Between 70K and 100K", "Greater than 100K")))</f>
        <v/>
      </c>
      <c r="K105" s="5">
        <f>IF(G105="Strongly disagree", 1, IF(G105="Disagree", 2, IF(G105="Neutral", 3, IF(G105="Agree", 4, IF(G105="Strongly agree", 5, 0)))))</f>
        <v/>
      </c>
    </row>
    <row r="106" ht="28.8" customHeight="1">
      <c r="A106" s="5" t="n">
        <v>105</v>
      </c>
      <c r="B106" s="5" t="inlineStr">
        <is>
          <t>Middle-aged</t>
        </is>
      </c>
      <c r="C106" s="5" t="n">
        <v>2</v>
      </c>
      <c r="D106" s="5" t="inlineStr">
        <is>
          <t>Ohio</t>
        </is>
      </c>
      <c r="E106" s="5" t="n">
        <v>0</v>
      </c>
      <c r="F106" s="5" t="n">
        <v>132182</v>
      </c>
      <c r="G106" s="5" t="inlineStr">
        <is>
          <t>Strongly disagree</t>
        </is>
      </c>
      <c r="H106" s="5">
        <f>IF(C106=1, "Male", "Female")</f>
        <v/>
      </c>
      <c r="I106" s="5">
        <f>IF(E106=0, "No children", "At least one child")</f>
        <v/>
      </c>
      <c r="J106" s="5">
        <f>IF(F106&lt;40000, "Less than 40K", IF(F106&lt;=70000, "Between 40K and 70K", IF(F106&lt;=100000, "Between 70K and 100K", "Greater than 100K")))</f>
        <v/>
      </c>
      <c r="K106" s="5">
        <f>IF(G106="Strongly disagree", 1, IF(G106="Disagree", 2, IF(G106="Neutral", 3, IF(G106="Agree", 4, IF(G106="Strongly agree", 5, 0)))))</f>
        <v/>
      </c>
    </row>
    <row r="107" ht="28.8" customHeight="1">
      <c r="A107" s="5" t="n">
        <v>106</v>
      </c>
      <c r="B107" s="5" t="inlineStr">
        <is>
          <t>Middle-aged</t>
        </is>
      </c>
      <c r="C107" s="5" t="n">
        <v>2</v>
      </c>
      <c r="D107" s="5" t="inlineStr">
        <is>
          <t>Illinois</t>
        </is>
      </c>
      <c r="E107" s="5" t="n">
        <v>2</v>
      </c>
      <c r="F107" s="5" t="n">
        <v>101475</v>
      </c>
      <c r="G107" s="5" t="inlineStr">
        <is>
          <t>Strongly agree</t>
        </is>
      </c>
      <c r="H107" s="5">
        <f>IF(C107=1, "Male", "Female")</f>
        <v/>
      </c>
      <c r="I107" s="5">
        <f>IF(E107=0, "No children", "At least one child")</f>
        <v/>
      </c>
      <c r="J107" s="5">
        <f>IF(F107&lt;40000, "Less than 40K", IF(F107&lt;=70000, "Between 40K and 70K", IF(F107&lt;=100000, "Between 70K and 100K", "Greater than 100K")))</f>
        <v/>
      </c>
      <c r="K107" s="5">
        <f>IF(G107="Strongly disagree", 1, IF(G107="Disagree", 2, IF(G107="Neutral", 3, IF(G107="Agree", 4, IF(G107="Strongly agree", 5, 0)))))</f>
        <v/>
      </c>
    </row>
    <row r="108" ht="28.8" customHeight="1">
      <c r="A108" s="5" t="n">
        <v>107</v>
      </c>
      <c r="B108" s="5" t="inlineStr">
        <is>
          <t>Middle-aged</t>
        </is>
      </c>
      <c r="C108" s="5" t="n">
        <v>2</v>
      </c>
      <c r="D108" s="5" t="inlineStr">
        <is>
          <t>Michigan</t>
        </is>
      </c>
      <c r="E108" s="5" t="n">
        <v>1</v>
      </c>
      <c r="F108" s="5" t="n">
        <v>72888</v>
      </c>
      <c r="G108" s="5" t="inlineStr">
        <is>
          <t>Strongly agree</t>
        </is>
      </c>
      <c r="H108" s="5">
        <f>IF(C108=1, "Male", "Female")</f>
        <v/>
      </c>
      <c r="I108" s="5">
        <f>IF(E108=0, "No children", "At least one child")</f>
        <v/>
      </c>
      <c r="J108" s="5">
        <f>IF(F108&lt;40000, "Less than 40K", IF(F108&lt;=70000, "Between 40K and 70K", IF(F108&lt;=100000, "Between 70K and 100K", "Greater than 100K")))</f>
        <v/>
      </c>
      <c r="K108" s="5">
        <f>IF(G108="Strongly disagree", 1, IF(G108="Disagree", 2, IF(G108="Neutral", 3, IF(G108="Agree", 4, IF(G108="Strongly agree", 5, 0)))))</f>
        <v/>
      </c>
    </row>
    <row r="109" ht="28.8" customHeight="1">
      <c r="A109" s="5" t="n">
        <v>108</v>
      </c>
      <c r="B109" s="5" t="inlineStr">
        <is>
          <t>Middle-aged</t>
        </is>
      </c>
      <c r="C109" s="5" t="n">
        <v>2</v>
      </c>
      <c r="D109" s="5" t="inlineStr">
        <is>
          <t>Virginia</t>
        </is>
      </c>
      <c r="E109" s="5" t="n">
        <v>2</v>
      </c>
      <c r="F109" s="5" t="n">
        <v>140022</v>
      </c>
      <c r="G109" s="5" t="inlineStr">
        <is>
          <t>Strongly disagree</t>
        </is>
      </c>
      <c r="H109" s="5">
        <f>IF(C109=1, "Male", "Female")</f>
        <v/>
      </c>
      <c r="I109" s="5">
        <f>IF(E109=0, "No children", "At least one child")</f>
        <v/>
      </c>
      <c r="J109" s="5">
        <f>IF(F109&lt;40000, "Less than 40K", IF(F109&lt;=70000, "Between 40K and 70K", IF(F109&lt;=100000, "Between 70K and 100K", "Greater than 100K")))</f>
        <v/>
      </c>
      <c r="K109" s="5">
        <f>IF(G109="Strongly disagree", 1, IF(G109="Disagree", 2, IF(G109="Neutral", 3, IF(G109="Agree", 4, IF(G109="Strongly agree", 5, 0)))))</f>
        <v/>
      </c>
    </row>
    <row r="110" ht="28.8" customHeight="1">
      <c r="A110" s="5" t="n">
        <v>109</v>
      </c>
      <c r="B110" s="5" t="inlineStr">
        <is>
          <t>Middle-aged</t>
        </is>
      </c>
      <c r="C110" s="5" t="n">
        <v>1</v>
      </c>
      <c r="D110" s="5" t="inlineStr">
        <is>
          <t>Arizona</t>
        </is>
      </c>
      <c r="E110" s="5" t="n">
        <v>2</v>
      </c>
      <c r="F110" s="5" t="n">
        <v>144335</v>
      </c>
      <c r="G110" s="5" t="inlineStr">
        <is>
          <t>Neutral</t>
        </is>
      </c>
      <c r="H110" s="5">
        <f>IF(C110=1, "Male", "Female")</f>
        <v/>
      </c>
      <c r="I110" s="5">
        <f>IF(E110=0, "No children", "At least one child")</f>
        <v/>
      </c>
      <c r="J110" s="5">
        <f>IF(F110&lt;40000, "Less than 40K", IF(F110&lt;=70000, "Between 40K and 70K", IF(F110&lt;=100000, "Between 70K and 100K", "Greater than 100K")))</f>
        <v/>
      </c>
      <c r="K110" s="5">
        <f>IF(G110="Strongly disagree", 1, IF(G110="Disagree", 2, IF(G110="Neutral", 3, IF(G110="Agree", 4, IF(G110="Strongly agree", 5, 0)))))</f>
        <v/>
      </c>
    </row>
    <row r="111" ht="28.8" customHeight="1">
      <c r="A111" s="5" t="n">
        <v>110</v>
      </c>
      <c r="B111" s="5" t="inlineStr">
        <is>
          <t>Elderly</t>
        </is>
      </c>
      <c r="C111" s="5" t="n">
        <v>2</v>
      </c>
      <c r="D111" s="5" t="inlineStr">
        <is>
          <t>California</t>
        </is>
      </c>
      <c r="E111" s="5" t="n">
        <v>1</v>
      </c>
      <c r="F111" s="5" t="n">
        <v>77506</v>
      </c>
      <c r="G111" s="5" t="inlineStr">
        <is>
          <t>Strongly agree</t>
        </is>
      </c>
      <c r="H111" s="5">
        <f>IF(C111=1, "Male", "Female")</f>
        <v/>
      </c>
      <c r="I111" s="5">
        <f>IF(E111=0, "No children", "At least one child")</f>
        <v/>
      </c>
      <c r="J111" s="5">
        <f>IF(F111&lt;40000, "Less than 40K", IF(F111&lt;=70000, "Between 40K and 70K", IF(F111&lt;=100000, "Between 70K and 100K", "Greater than 100K")))</f>
        <v/>
      </c>
      <c r="K111" s="5">
        <f>IF(G111="Strongly disagree", 1, IF(G111="Disagree", 2, IF(G111="Neutral", 3, IF(G111="Agree", 4, IF(G111="Strongly agree", 5, 0)))))</f>
        <v/>
      </c>
    </row>
    <row r="112" ht="28.8" customHeight="1">
      <c r="A112" s="5" t="n">
        <v>111</v>
      </c>
      <c r="B112" s="5" t="inlineStr">
        <is>
          <t>Middle-aged</t>
        </is>
      </c>
      <c r="C112" s="5" t="n">
        <v>2</v>
      </c>
      <c r="D112" s="5" t="inlineStr">
        <is>
          <t>Ohio</t>
        </is>
      </c>
      <c r="E112" s="5" t="n">
        <v>2</v>
      </c>
      <c r="F112" s="5" t="n">
        <v>106139</v>
      </c>
      <c r="G112" s="5" t="inlineStr">
        <is>
          <t>Agree</t>
        </is>
      </c>
      <c r="H112" s="5">
        <f>IF(C112=1, "Male", "Female")</f>
        <v/>
      </c>
      <c r="I112" s="5">
        <f>IF(E112=0, "No children", "At least one child")</f>
        <v/>
      </c>
      <c r="J112" s="5">
        <f>IF(F112&lt;40000, "Less than 40K", IF(F112&lt;=70000, "Between 40K and 70K", IF(F112&lt;=100000, "Between 70K and 100K", "Greater than 100K")))</f>
        <v/>
      </c>
      <c r="K112" s="5">
        <f>IF(G112="Strongly disagree", 1, IF(G112="Disagree", 2, IF(G112="Neutral", 3, IF(G112="Agree", 4, IF(G112="Strongly agree", 5, 0)))))</f>
        <v/>
      </c>
    </row>
    <row r="113" ht="28.8" customHeight="1">
      <c r="A113" s="5" t="n">
        <v>112</v>
      </c>
      <c r="B113" s="5" t="inlineStr">
        <is>
          <t>Middle-aged</t>
        </is>
      </c>
      <c r="C113" s="5" t="n">
        <v>1</v>
      </c>
      <c r="D113" s="5" t="inlineStr">
        <is>
          <t>Ohio</t>
        </is>
      </c>
      <c r="E113" s="5" t="n">
        <v>0</v>
      </c>
      <c r="F113" s="5" t="n">
        <v>93790</v>
      </c>
      <c r="G113" s="5" t="inlineStr">
        <is>
          <t>Agree</t>
        </is>
      </c>
      <c r="H113" s="5">
        <f>IF(C113=1, "Male", "Female")</f>
        <v/>
      </c>
      <c r="I113" s="5">
        <f>IF(E113=0, "No children", "At least one child")</f>
        <v/>
      </c>
      <c r="J113" s="5">
        <f>IF(F113&lt;40000, "Less than 40K", IF(F113&lt;=70000, "Between 40K and 70K", IF(F113&lt;=100000, "Between 70K and 100K", "Greater than 100K")))</f>
        <v/>
      </c>
      <c r="K113" s="5">
        <f>IF(G113="Strongly disagree", 1, IF(G113="Disagree", 2, IF(G113="Neutral", 3, IF(G113="Agree", 4, IF(G113="Strongly agree", 5, 0)))))</f>
        <v/>
      </c>
    </row>
    <row r="114" ht="28.8" customHeight="1">
      <c r="A114" s="5" t="n">
        <v>113</v>
      </c>
      <c r="B114" s="5" t="inlineStr">
        <is>
          <t>Middle-aged</t>
        </is>
      </c>
      <c r="C114" s="5" t="n">
        <v>1</v>
      </c>
      <c r="D114" s="5" t="inlineStr">
        <is>
          <t>Ohio</t>
        </is>
      </c>
      <c r="E114" s="5" t="n">
        <v>3</v>
      </c>
      <c r="F114" s="5" t="n">
        <v>98341</v>
      </c>
      <c r="G114" s="5" t="inlineStr">
        <is>
          <t>Strongly agree</t>
        </is>
      </c>
      <c r="H114" s="5">
        <f>IF(C114=1, "Male", "Female")</f>
        <v/>
      </c>
      <c r="I114" s="5">
        <f>IF(E114=0, "No children", "At least one child")</f>
        <v/>
      </c>
      <c r="J114" s="5">
        <f>IF(F114&lt;40000, "Less than 40K", IF(F114&lt;=70000, "Between 40K and 70K", IF(F114&lt;=100000, "Between 70K and 100K", "Greater than 100K")))</f>
        <v/>
      </c>
      <c r="K114" s="5">
        <f>IF(G114="Strongly disagree", 1, IF(G114="Disagree", 2, IF(G114="Neutral", 3, IF(G114="Agree", 4, IF(G114="Strongly agree", 5, 0)))))</f>
        <v/>
      </c>
    </row>
    <row r="115" ht="28.8" customHeight="1">
      <c r="A115" s="5" t="n">
        <v>114</v>
      </c>
      <c r="B115" s="5" t="inlineStr">
        <is>
          <t>Middle-aged</t>
        </is>
      </c>
      <c r="C115" s="5" t="n">
        <v>1</v>
      </c>
      <c r="D115" s="5" t="inlineStr">
        <is>
          <t>Michigan</t>
        </is>
      </c>
      <c r="E115" s="5" t="n">
        <v>0</v>
      </c>
      <c r="F115" s="5" t="n">
        <v>133741</v>
      </c>
      <c r="G115" s="5" t="inlineStr">
        <is>
          <t>Strongly agree</t>
        </is>
      </c>
      <c r="H115" s="5">
        <f>IF(C115=1, "Male", "Female")</f>
        <v/>
      </c>
      <c r="I115" s="5">
        <f>IF(E115=0, "No children", "At least one child")</f>
        <v/>
      </c>
      <c r="J115" s="5">
        <f>IF(F115&lt;40000, "Less than 40K", IF(F115&lt;=70000, "Between 40K and 70K", IF(F115&lt;=100000, "Between 70K and 100K", "Greater than 100K")))</f>
        <v/>
      </c>
      <c r="K115" s="5">
        <f>IF(G115="Strongly disagree", 1, IF(G115="Disagree", 2, IF(G115="Neutral", 3, IF(G115="Agree", 4, IF(G115="Strongly agree", 5, 0)))))</f>
        <v/>
      </c>
    </row>
    <row r="116" ht="28.8" customHeight="1">
      <c r="A116" s="5" t="n">
        <v>115</v>
      </c>
      <c r="B116" s="5" t="inlineStr">
        <is>
          <t>Middle-aged</t>
        </is>
      </c>
      <c r="C116" s="5" t="n">
        <v>1</v>
      </c>
      <c r="D116" s="5" t="inlineStr">
        <is>
          <t>Michigan</t>
        </is>
      </c>
      <c r="E116" s="5" t="n">
        <v>0</v>
      </c>
      <c r="F116" s="5" t="n">
        <v>88427</v>
      </c>
      <c r="G116" s="5" t="inlineStr">
        <is>
          <t>Disagree</t>
        </is>
      </c>
      <c r="H116" s="5">
        <f>IF(C116=1, "Male", "Female")</f>
        <v/>
      </c>
      <c r="I116" s="5">
        <f>IF(E116=0, "No children", "At least one child")</f>
        <v/>
      </c>
      <c r="J116" s="5">
        <f>IF(F116&lt;40000, "Less than 40K", IF(F116&lt;=70000, "Between 40K and 70K", IF(F116&lt;=100000, "Between 70K and 100K", "Greater than 100K")))</f>
        <v/>
      </c>
      <c r="K116" s="5">
        <f>IF(G116="Strongly disagree", 1, IF(G116="Disagree", 2, IF(G116="Neutral", 3, IF(G116="Agree", 4, IF(G116="Strongly agree", 5, 0)))))</f>
        <v/>
      </c>
    </row>
    <row r="117" ht="28.8" customHeight="1">
      <c r="A117" s="5" t="n">
        <v>116</v>
      </c>
      <c r="B117" s="5" t="inlineStr">
        <is>
          <t>Middle-aged</t>
        </is>
      </c>
      <c r="C117" s="5" t="n">
        <v>2</v>
      </c>
      <c r="D117" s="5" t="inlineStr">
        <is>
          <t>New York</t>
        </is>
      </c>
      <c r="E117" s="5" t="n">
        <v>2</v>
      </c>
      <c r="F117" s="5" t="n">
        <v>144518</v>
      </c>
      <c r="G117" s="5" t="inlineStr">
        <is>
          <t>Disagree</t>
        </is>
      </c>
      <c r="H117" s="5">
        <f>IF(C117=1, "Male", "Female")</f>
        <v/>
      </c>
      <c r="I117" s="5">
        <f>IF(E117=0, "No children", "At least one child")</f>
        <v/>
      </c>
      <c r="J117" s="5">
        <f>IF(F117&lt;40000, "Less than 40K", IF(F117&lt;=70000, "Between 40K and 70K", IF(F117&lt;=100000, "Between 70K and 100K", "Greater than 100K")))</f>
        <v/>
      </c>
      <c r="K117" s="5">
        <f>IF(G117="Strongly disagree", 1, IF(G117="Disagree", 2, IF(G117="Neutral", 3, IF(G117="Agree", 4, IF(G117="Strongly agree", 5, 0)))))</f>
        <v/>
      </c>
    </row>
    <row r="118" ht="28.8" customHeight="1">
      <c r="A118" s="5" t="n">
        <v>117</v>
      </c>
      <c r="B118" s="5" t="inlineStr">
        <is>
          <t>Young</t>
        </is>
      </c>
      <c r="C118" s="5" t="n">
        <v>1</v>
      </c>
      <c r="D118" s="5" t="inlineStr">
        <is>
          <t>New York</t>
        </is>
      </c>
      <c r="E118" s="5" t="n">
        <v>0</v>
      </c>
      <c r="F118" s="5" t="n">
        <v>72239</v>
      </c>
      <c r="G118" s="5" t="inlineStr">
        <is>
          <t>Neutral</t>
        </is>
      </c>
      <c r="H118" s="5">
        <f>IF(C118=1, "Male", "Female")</f>
        <v/>
      </c>
      <c r="I118" s="5">
        <f>IF(E118=0, "No children", "At least one child")</f>
        <v/>
      </c>
      <c r="J118" s="5">
        <f>IF(F118&lt;40000, "Less than 40K", IF(F118&lt;=70000, "Between 40K and 70K", IF(F118&lt;=100000, "Between 70K and 100K", "Greater than 100K")))</f>
        <v/>
      </c>
      <c r="K118" s="5">
        <f>IF(G118="Strongly disagree", 1, IF(G118="Disagree", 2, IF(G118="Neutral", 3, IF(G118="Agree", 4, IF(G118="Strongly agree", 5, 0)))))</f>
        <v/>
      </c>
    </row>
    <row r="119" ht="28.8" customHeight="1">
      <c r="A119" s="5" t="n">
        <v>118</v>
      </c>
      <c r="B119" s="5" t="inlineStr">
        <is>
          <t>Elderly</t>
        </is>
      </c>
      <c r="C119" s="5" t="n">
        <v>2</v>
      </c>
      <c r="D119" s="5" t="inlineStr">
        <is>
          <t>Ohio</t>
        </is>
      </c>
      <c r="E119" s="5" t="n">
        <v>0</v>
      </c>
      <c r="F119" s="5" t="n">
        <v>74438</v>
      </c>
      <c r="G119" s="5" t="inlineStr">
        <is>
          <t>Strongly agree</t>
        </is>
      </c>
      <c r="H119" s="5">
        <f>IF(C119=1, "Male", "Female")</f>
        <v/>
      </c>
      <c r="I119" s="5">
        <f>IF(E119=0, "No children", "At least one child")</f>
        <v/>
      </c>
      <c r="J119" s="5">
        <f>IF(F119&lt;40000, "Less than 40K", IF(F119&lt;=70000, "Between 40K and 70K", IF(F119&lt;=100000, "Between 70K and 100K", "Greater than 100K")))</f>
        <v/>
      </c>
      <c r="K119" s="5">
        <f>IF(G119="Strongly disagree", 1, IF(G119="Disagree", 2, IF(G119="Neutral", 3, IF(G119="Agree", 4, IF(G119="Strongly agree", 5, 0)))))</f>
        <v/>
      </c>
    </row>
    <row r="120" ht="28.8" customHeight="1">
      <c r="A120" s="5" t="n">
        <v>119</v>
      </c>
      <c r="B120" s="5" t="inlineStr">
        <is>
          <t>Elderly</t>
        </is>
      </c>
      <c r="C120" s="5" t="n">
        <v>2</v>
      </c>
      <c r="D120" s="5" t="inlineStr">
        <is>
          <t>Ohio</t>
        </is>
      </c>
      <c r="E120" s="5" t="n">
        <v>0</v>
      </c>
      <c r="F120" s="5" t="n">
        <v>59629</v>
      </c>
      <c r="G120" s="5" t="inlineStr">
        <is>
          <t>Neutral</t>
        </is>
      </c>
      <c r="H120" s="5">
        <f>IF(C120=1, "Male", "Female")</f>
        <v/>
      </c>
      <c r="I120" s="5">
        <f>IF(E120=0, "No children", "At least one child")</f>
        <v/>
      </c>
      <c r="J120" s="5">
        <f>IF(F120&lt;40000, "Less than 40K", IF(F120&lt;=70000, "Between 40K and 70K", IF(F120&lt;=100000, "Between 70K and 100K", "Greater than 100K")))</f>
        <v/>
      </c>
      <c r="K120" s="5">
        <f>IF(G120="Strongly disagree", 1, IF(G120="Disagree", 2, IF(G120="Neutral", 3, IF(G120="Agree", 4, IF(G120="Strongly agree", 5, 0)))))</f>
        <v/>
      </c>
    </row>
    <row r="121" ht="28.8" customHeight="1">
      <c r="A121" s="5" t="n">
        <v>120</v>
      </c>
      <c r="B121" s="5" t="inlineStr">
        <is>
          <t>Middle-aged</t>
        </is>
      </c>
      <c r="C121" s="5" t="n">
        <v>2</v>
      </c>
      <c r="D121" s="5" t="inlineStr">
        <is>
          <t>Arizona</t>
        </is>
      </c>
      <c r="E121" s="5" t="n">
        <v>2</v>
      </c>
      <c r="F121" s="5" t="n">
        <v>79122</v>
      </c>
      <c r="G121" s="5" t="inlineStr">
        <is>
          <t>Strongly agree</t>
        </is>
      </c>
      <c r="H121" s="5">
        <f>IF(C121=1, "Male", "Female")</f>
        <v/>
      </c>
      <c r="I121" s="5">
        <f>IF(E121=0, "No children", "At least one child")</f>
        <v/>
      </c>
      <c r="J121" s="5">
        <f>IF(F121&lt;40000, "Less than 40K", IF(F121&lt;=70000, "Between 40K and 70K", IF(F121&lt;=100000, "Between 70K and 100K", "Greater than 100K")))</f>
        <v/>
      </c>
      <c r="K121" s="5">
        <f>IF(G121="Strongly disagree", 1, IF(G121="Disagree", 2, IF(G121="Neutral", 3, IF(G121="Agree", 4, IF(G121="Strongly agree", 5, 0)))))</f>
        <v/>
      </c>
    </row>
    <row r="122" ht="28.8" customHeight="1">
      <c r="A122" s="5" t="n">
        <v>121</v>
      </c>
      <c r="B122" s="5" t="inlineStr">
        <is>
          <t>Elderly</t>
        </is>
      </c>
      <c r="C122" s="5" t="n">
        <v>2</v>
      </c>
      <c r="D122" s="5" t="inlineStr">
        <is>
          <t>Florida</t>
        </is>
      </c>
      <c r="E122" s="5" t="n">
        <v>3</v>
      </c>
      <c r="F122" s="5" t="n">
        <v>75892</v>
      </c>
      <c r="G122" s="5" t="inlineStr">
        <is>
          <t>Strongly disagree</t>
        </is>
      </c>
      <c r="H122" s="5">
        <f>IF(C122=1, "Male", "Female")</f>
        <v/>
      </c>
      <c r="I122" s="5">
        <f>IF(E122=0, "No children", "At least one child")</f>
        <v/>
      </c>
      <c r="J122" s="5">
        <f>IF(F122&lt;40000, "Less than 40K", IF(F122&lt;=70000, "Between 40K and 70K", IF(F122&lt;=100000, "Between 70K and 100K", "Greater than 100K")))</f>
        <v/>
      </c>
      <c r="K122" s="5">
        <f>IF(G122="Strongly disagree", 1, IF(G122="Disagree", 2, IF(G122="Neutral", 3, IF(G122="Agree", 4, IF(G122="Strongly agree", 5, 0)))))</f>
        <v/>
      </c>
    </row>
    <row r="123" ht="28.8" customHeight="1">
      <c r="A123" s="5" t="n">
        <v>122</v>
      </c>
      <c r="B123" s="5" t="inlineStr">
        <is>
          <t>Middle-aged</t>
        </is>
      </c>
      <c r="C123" s="5" t="n">
        <v>1</v>
      </c>
      <c r="D123" s="5" t="inlineStr">
        <is>
          <t>Ohio</t>
        </is>
      </c>
      <c r="E123" s="5" t="n">
        <v>2</v>
      </c>
      <c r="F123" s="5" t="n">
        <v>127032</v>
      </c>
      <c r="G123" s="5" t="inlineStr">
        <is>
          <t>Strongly disagree</t>
        </is>
      </c>
      <c r="H123" s="5">
        <f>IF(C123=1, "Male", "Female")</f>
        <v/>
      </c>
      <c r="I123" s="5">
        <f>IF(E123=0, "No children", "At least one child")</f>
        <v/>
      </c>
      <c r="J123" s="5">
        <f>IF(F123&lt;40000, "Less than 40K", IF(F123&lt;=70000, "Between 40K and 70K", IF(F123&lt;=100000, "Between 70K and 100K", "Greater than 100K")))</f>
        <v/>
      </c>
      <c r="K123" s="5">
        <f>IF(G123="Strongly disagree", 1, IF(G123="Disagree", 2, IF(G123="Neutral", 3, IF(G123="Agree", 4, IF(G123="Strongly agree", 5, 0)))))</f>
        <v/>
      </c>
    </row>
    <row r="124" ht="28.8" customHeight="1">
      <c r="A124" s="5" t="n">
        <v>123</v>
      </c>
      <c r="B124" s="5" t="inlineStr">
        <is>
          <t>Elderly</t>
        </is>
      </c>
      <c r="C124" s="5" t="n">
        <v>2</v>
      </c>
      <c r="D124" s="5" t="inlineStr">
        <is>
          <t>Michigan</t>
        </is>
      </c>
      <c r="E124" s="5" t="n">
        <v>1</v>
      </c>
      <c r="F124" s="5" t="n">
        <v>65626</v>
      </c>
      <c r="G124" s="5" t="inlineStr">
        <is>
          <t>Neutral</t>
        </is>
      </c>
      <c r="H124" s="5">
        <f>IF(C124=1, "Male", "Female")</f>
        <v/>
      </c>
      <c r="I124" s="5">
        <f>IF(E124=0, "No children", "At least one child")</f>
        <v/>
      </c>
      <c r="J124" s="5">
        <f>IF(F124&lt;40000, "Less than 40K", IF(F124&lt;=70000, "Between 40K and 70K", IF(F124&lt;=100000, "Between 70K and 100K", "Greater than 100K")))</f>
        <v/>
      </c>
      <c r="K124" s="5">
        <f>IF(G124="Strongly disagree", 1, IF(G124="Disagree", 2, IF(G124="Neutral", 3, IF(G124="Agree", 4, IF(G124="Strongly agree", 5, 0)))))</f>
        <v/>
      </c>
    </row>
    <row r="125" ht="28.8" customHeight="1">
      <c r="A125" s="5" t="n">
        <v>124</v>
      </c>
      <c r="B125" s="5" t="inlineStr">
        <is>
          <t>Middle-aged</t>
        </is>
      </c>
      <c r="C125" s="5" t="n">
        <v>2</v>
      </c>
      <c r="D125" s="5" t="inlineStr">
        <is>
          <t>New York</t>
        </is>
      </c>
      <c r="E125" s="5" t="n">
        <v>0</v>
      </c>
      <c r="F125" s="5" t="n">
        <v>103667</v>
      </c>
      <c r="G125" s="5" t="inlineStr">
        <is>
          <t>Disagree</t>
        </is>
      </c>
      <c r="H125" s="5">
        <f>IF(C125=1, "Male", "Female")</f>
        <v/>
      </c>
      <c r="I125" s="5">
        <f>IF(E125=0, "No children", "At least one child")</f>
        <v/>
      </c>
      <c r="J125" s="5">
        <f>IF(F125&lt;40000, "Less than 40K", IF(F125&lt;=70000, "Between 40K and 70K", IF(F125&lt;=100000, "Between 70K and 100K", "Greater than 100K")))</f>
        <v/>
      </c>
      <c r="K125" s="5">
        <f>IF(G125="Strongly disagree", 1, IF(G125="Disagree", 2, IF(G125="Neutral", 3, IF(G125="Agree", 4, IF(G125="Strongly agree", 5, 0)))))</f>
        <v/>
      </c>
    </row>
    <row r="126" ht="28.8" customHeight="1">
      <c r="A126" s="5" t="n">
        <v>125</v>
      </c>
      <c r="B126" s="5" t="inlineStr">
        <is>
          <t>Middle-aged</t>
        </is>
      </c>
      <c r="C126" s="5" t="n">
        <v>2</v>
      </c>
      <c r="D126" s="5" t="inlineStr">
        <is>
          <t>Texas</t>
        </is>
      </c>
      <c r="E126" s="5" t="n">
        <v>0</v>
      </c>
      <c r="F126" s="5" t="n">
        <v>131312</v>
      </c>
      <c r="G126" s="5" t="inlineStr">
        <is>
          <t>Strongly disagree</t>
        </is>
      </c>
      <c r="H126" s="5">
        <f>IF(C126=1, "Male", "Female")</f>
        <v/>
      </c>
      <c r="I126" s="5">
        <f>IF(E126=0, "No children", "At least one child")</f>
        <v/>
      </c>
      <c r="J126" s="5">
        <f>IF(F126&lt;40000, "Less than 40K", IF(F126&lt;=70000, "Between 40K and 70K", IF(F126&lt;=100000, "Between 70K and 100K", "Greater than 100K")))</f>
        <v/>
      </c>
      <c r="K126" s="5">
        <f>IF(G126="Strongly disagree", 1, IF(G126="Disagree", 2, IF(G126="Neutral", 3, IF(G126="Agree", 4, IF(G126="Strongly agree", 5, 0)))))</f>
        <v/>
      </c>
    </row>
    <row r="127" ht="28.8" customHeight="1">
      <c r="A127" s="5" t="n">
        <v>126</v>
      </c>
      <c r="B127" s="5" t="inlineStr">
        <is>
          <t>Middle-aged</t>
        </is>
      </c>
      <c r="C127" s="5" t="n">
        <v>2</v>
      </c>
      <c r="D127" s="5" t="inlineStr">
        <is>
          <t>Arizona</t>
        </is>
      </c>
      <c r="E127" s="5" t="n">
        <v>0</v>
      </c>
      <c r="F127" s="5" t="n">
        <v>109677</v>
      </c>
      <c r="G127" s="5" t="inlineStr">
        <is>
          <t>Agree</t>
        </is>
      </c>
      <c r="H127" s="5">
        <f>IF(C127=1, "Male", "Female")</f>
        <v/>
      </c>
      <c r="I127" s="5">
        <f>IF(E127=0, "No children", "At least one child")</f>
        <v/>
      </c>
      <c r="J127" s="5">
        <f>IF(F127&lt;40000, "Less than 40K", IF(F127&lt;=70000, "Between 40K and 70K", IF(F127&lt;=100000, "Between 70K and 100K", "Greater than 100K")))</f>
        <v/>
      </c>
      <c r="K127" s="5">
        <f>IF(G127="Strongly disagree", 1, IF(G127="Disagree", 2, IF(G127="Neutral", 3, IF(G127="Agree", 4, IF(G127="Strongly agree", 5, 0)))))</f>
        <v/>
      </c>
    </row>
    <row r="128" ht="28.8" customHeight="1">
      <c r="A128" s="5" t="n">
        <v>127</v>
      </c>
      <c r="B128" s="5" t="inlineStr">
        <is>
          <t>Middle-aged</t>
        </is>
      </c>
      <c r="C128" s="5" t="n">
        <v>2</v>
      </c>
      <c r="D128" s="5" t="inlineStr">
        <is>
          <t>New York</t>
        </is>
      </c>
      <c r="E128" s="5" t="n">
        <v>2</v>
      </c>
      <c r="F128" s="5" t="n">
        <v>111921</v>
      </c>
      <c r="G128" s="5" t="inlineStr">
        <is>
          <t>Strongly agree</t>
        </is>
      </c>
      <c r="H128" s="5">
        <f>IF(C128=1, "Male", "Female")</f>
        <v/>
      </c>
      <c r="I128" s="5">
        <f>IF(E128=0, "No children", "At least one child")</f>
        <v/>
      </c>
      <c r="J128" s="5">
        <f>IF(F128&lt;40000, "Less than 40K", IF(F128&lt;=70000, "Between 40K and 70K", IF(F128&lt;=100000, "Between 70K and 100K", "Greater than 100K")))</f>
        <v/>
      </c>
      <c r="K128" s="5">
        <f>IF(G128="Strongly disagree", 1, IF(G128="Disagree", 2, IF(G128="Neutral", 3, IF(G128="Agree", 4, IF(G128="Strongly agree", 5, 0)))))</f>
        <v/>
      </c>
    </row>
    <row r="129" ht="28.8" customHeight="1">
      <c r="A129" s="5" t="n">
        <v>128</v>
      </c>
      <c r="B129" s="5" t="inlineStr">
        <is>
          <t>Elderly</t>
        </is>
      </c>
      <c r="C129" s="5" t="n">
        <v>1</v>
      </c>
      <c r="D129" s="5" t="inlineStr">
        <is>
          <t>Michigan</t>
        </is>
      </c>
      <c r="E129" s="5" t="n">
        <v>2</v>
      </c>
      <c r="F129" s="5" t="n">
        <v>83914</v>
      </c>
      <c r="G129" s="5" t="inlineStr">
        <is>
          <t>Strongly disagree</t>
        </is>
      </c>
      <c r="H129" s="5">
        <f>IF(C129=1, "Male", "Female")</f>
        <v/>
      </c>
      <c r="I129" s="5">
        <f>IF(E129=0, "No children", "At least one child")</f>
        <v/>
      </c>
      <c r="J129" s="5">
        <f>IF(F129&lt;40000, "Less than 40K", IF(F129&lt;=70000, "Between 40K and 70K", IF(F129&lt;=100000, "Between 70K and 100K", "Greater than 100K")))</f>
        <v/>
      </c>
      <c r="K129" s="5">
        <f>IF(G129="Strongly disagree", 1, IF(G129="Disagree", 2, IF(G129="Neutral", 3, IF(G129="Agree", 4, IF(G129="Strongly agree", 5, 0)))))</f>
        <v/>
      </c>
    </row>
    <row r="130" ht="28.8" customHeight="1">
      <c r="A130" s="5" t="n">
        <v>129</v>
      </c>
      <c r="B130" s="5" t="inlineStr">
        <is>
          <t>Elderly</t>
        </is>
      </c>
      <c r="C130" s="5" t="n">
        <v>2</v>
      </c>
      <c r="D130" s="5" t="inlineStr">
        <is>
          <t>Virginia</t>
        </is>
      </c>
      <c r="E130" s="5" t="n">
        <v>2</v>
      </c>
      <c r="F130" s="5" t="n">
        <v>69622</v>
      </c>
      <c r="G130" s="5" t="inlineStr">
        <is>
          <t>Disagree</t>
        </is>
      </c>
      <c r="H130" s="5">
        <f>IF(C130=1, "Male", "Female")</f>
        <v/>
      </c>
      <c r="I130" s="5">
        <f>IF(E130=0, "No children", "At least one child")</f>
        <v/>
      </c>
      <c r="J130" s="5">
        <f>IF(F130&lt;40000, "Less than 40K", IF(F130&lt;=70000, "Between 40K and 70K", IF(F130&lt;=100000, "Between 70K and 100K", "Greater than 100K")))</f>
        <v/>
      </c>
      <c r="K130" s="5">
        <f>IF(G130="Strongly disagree", 1, IF(G130="Disagree", 2, IF(G130="Neutral", 3, IF(G130="Agree", 4, IF(G130="Strongly agree", 5, 0)))))</f>
        <v/>
      </c>
    </row>
    <row r="131" ht="28.8" customHeight="1">
      <c r="A131" s="5" t="n">
        <v>130</v>
      </c>
      <c r="B131" s="5" t="inlineStr">
        <is>
          <t>Young</t>
        </is>
      </c>
      <c r="C131" s="5" t="n">
        <v>1</v>
      </c>
      <c r="D131" s="5" t="inlineStr">
        <is>
          <t>Virginia</t>
        </is>
      </c>
      <c r="E131" s="5" t="n">
        <v>1</v>
      </c>
      <c r="F131" s="5" t="n">
        <v>52163</v>
      </c>
      <c r="G131" s="5" t="inlineStr">
        <is>
          <t>Disagree</t>
        </is>
      </c>
      <c r="H131" s="5">
        <f>IF(C131=1, "Male", "Female")</f>
        <v/>
      </c>
      <c r="I131" s="5">
        <f>IF(E131=0, "No children", "At least one child")</f>
        <v/>
      </c>
      <c r="J131" s="5">
        <f>IF(F131&lt;40000, "Less than 40K", IF(F131&lt;=70000, "Between 40K and 70K", IF(F131&lt;=100000, "Between 70K and 100K", "Greater than 100K")))</f>
        <v/>
      </c>
      <c r="K131" s="5">
        <f>IF(G131="Strongly disagree", 1, IF(G131="Disagree", 2, IF(G131="Neutral", 3, IF(G131="Agree", 4, IF(G131="Strongly agree", 5, 0)))))</f>
        <v/>
      </c>
    </row>
    <row r="132" ht="28.8" customHeight="1">
      <c r="A132" s="5" t="n">
        <v>131</v>
      </c>
      <c r="B132" s="5" t="inlineStr">
        <is>
          <t>Elderly</t>
        </is>
      </c>
      <c r="C132" s="5" t="n">
        <v>2</v>
      </c>
      <c r="D132" s="5" t="inlineStr">
        <is>
          <t>Texas</t>
        </is>
      </c>
      <c r="E132" s="5" t="n">
        <v>0</v>
      </c>
      <c r="F132" s="5" t="n">
        <v>96274</v>
      </c>
      <c r="G132" s="5" t="inlineStr">
        <is>
          <t>Agree</t>
        </is>
      </c>
      <c r="H132" s="5">
        <f>IF(C132=1, "Male", "Female")</f>
        <v/>
      </c>
      <c r="I132" s="5">
        <f>IF(E132=0, "No children", "At least one child")</f>
        <v/>
      </c>
      <c r="J132" s="5">
        <f>IF(F132&lt;40000, "Less than 40K", IF(F132&lt;=70000, "Between 40K and 70K", IF(F132&lt;=100000, "Between 70K and 100K", "Greater than 100K")))</f>
        <v/>
      </c>
      <c r="K132" s="5">
        <f>IF(G132="Strongly disagree", 1, IF(G132="Disagree", 2, IF(G132="Neutral", 3, IF(G132="Agree", 4, IF(G132="Strongly agree", 5, 0)))))</f>
        <v/>
      </c>
    </row>
    <row r="133" ht="28.8" customHeight="1">
      <c r="A133" s="5" t="n">
        <v>132</v>
      </c>
      <c r="B133" s="5" t="inlineStr">
        <is>
          <t>Young</t>
        </is>
      </c>
      <c r="C133" s="5" t="n">
        <v>2</v>
      </c>
      <c r="D133" s="5" t="inlineStr">
        <is>
          <t>Ohio</t>
        </is>
      </c>
      <c r="E133" s="5" t="n">
        <v>2</v>
      </c>
      <c r="F133" s="5" t="n">
        <v>54784</v>
      </c>
      <c r="G133" s="5" t="inlineStr">
        <is>
          <t>Agree</t>
        </is>
      </c>
      <c r="H133" s="5">
        <f>IF(C133=1, "Male", "Female")</f>
        <v/>
      </c>
      <c r="I133" s="5">
        <f>IF(E133=0, "No children", "At least one child")</f>
        <v/>
      </c>
      <c r="J133" s="5">
        <f>IF(F133&lt;40000, "Less than 40K", IF(F133&lt;=70000, "Between 40K and 70K", IF(F133&lt;=100000, "Between 70K and 100K", "Greater than 100K")))</f>
        <v/>
      </c>
      <c r="K133" s="5">
        <f>IF(G133="Strongly disagree", 1, IF(G133="Disagree", 2, IF(G133="Neutral", 3, IF(G133="Agree", 4, IF(G133="Strongly agree", 5, 0)))))</f>
        <v/>
      </c>
    </row>
    <row r="134" ht="28.8" customHeight="1">
      <c r="A134" s="5" t="n">
        <v>133</v>
      </c>
      <c r="B134" s="5" t="inlineStr">
        <is>
          <t>Middle-aged</t>
        </is>
      </c>
      <c r="C134" s="5" t="n">
        <v>1</v>
      </c>
      <c r="D134" s="5" t="inlineStr">
        <is>
          <t>New York</t>
        </is>
      </c>
      <c r="E134" s="5" t="n">
        <v>0</v>
      </c>
      <c r="F134" s="5" t="n">
        <v>97814</v>
      </c>
      <c r="G134" s="5" t="inlineStr">
        <is>
          <t>Disagree</t>
        </is>
      </c>
      <c r="H134" s="5">
        <f>IF(C134=1, "Male", "Female")</f>
        <v/>
      </c>
      <c r="I134" s="5">
        <f>IF(E134=0, "No children", "At least one child")</f>
        <v/>
      </c>
      <c r="J134" s="5">
        <f>IF(F134&lt;40000, "Less than 40K", IF(F134&lt;=70000, "Between 40K and 70K", IF(F134&lt;=100000, "Between 70K and 100K", "Greater than 100K")))</f>
        <v/>
      </c>
      <c r="K134" s="5">
        <f>IF(G134="Strongly disagree", 1, IF(G134="Disagree", 2, IF(G134="Neutral", 3, IF(G134="Agree", 4, IF(G134="Strongly agree", 5, 0)))))</f>
        <v/>
      </c>
    </row>
    <row r="135" ht="28.8" customHeight="1">
      <c r="A135" s="5" t="n">
        <v>134</v>
      </c>
      <c r="B135" s="5" t="inlineStr">
        <is>
          <t>Middle-aged</t>
        </is>
      </c>
      <c r="C135" s="5" t="n">
        <v>1</v>
      </c>
      <c r="D135" s="5" t="inlineStr">
        <is>
          <t>Illinois</t>
        </is>
      </c>
      <c r="E135" s="5" t="n">
        <v>2</v>
      </c>
      <c r="F135" s="5" t="n">
        <v>77804</v>
      </c>
      <c r="G135" s="5" t="inlineStr">
        <is>
          <t>Neutral</t>
        </is>
      </c>
      <c r="H135" s="5">
        <f>IF(C135=1, "Male", "Female")</f>
        <v/>
      </c>
      <c r="I135" s="5">
        <f>IF(E135=0, "No children", "At least one child")</f>
        <v/>
      </c>
      <c r="J135" s="5">
        <f>IF(F135&lt;40000, "Less than 40K", IF(F135&lt;=70000, "Between 40K and 70K", IF(F135&lt;=100000, "Between 70K and 100K", "Greater than 100K")))</f>
        <v/>
      </c>
      <c r="K135" s="5">
        <f>IF(G135="Strongly disagree", 1, IF(G135="Disagree", 2, IF(G135="Neutral", 3, IF(G135="Agree", 4, IF(G135="Strongly agree", 5, 0)))))</f>
        <v/>
      </c>
    </row>
    <row r="136" ht="28.8" customHeight="1">
      <c r="A136" s="5" t="n">
        <v>135</v>
      </c>
      <c r="B136" s="5" t="inlineStr">
        <is>
          <t>Middle-aged</t>
        </is>
      </c>
      <c r="C136" s="5" t="n">
        <v>2</v>
      </c>
      <c r="D136" s="5" t="inlineStr">
        <is>
          <t>New York</t>
        </is>
      </c>
      <c r="E136" s="5" t="n">
        <v>2</v>
      </c>
      <c r="F136" s="5" t="n">
        <v>103419</v>
      </c>
      <c r="G136" s="5" t="inlineStr">
        <is>
          <t>Agree</t>
        </is>
      </c>
      <c r="H136" s="5">
        <f>IF(C136=1, "Male", "Female")</f>
        <v/>
      </c>
      <c r="I136" s="5">
        <f>IF(E136=0, "No children", "At least one child")</f>
        <v/>
      </c>
      <c r="J136" s="5">
        <f>IF(F136&lt;40000, "Less than 40K", IF(F136&lt;=70000, "Between 40K and 70K", IF(F136&lt;=100000, "Between 70K and 100K", "Greater than 100K")))</f>
        <v/>
      </c>
      <c r="K136" s="5">
        <f>IF(G136="Strongly disagree", 1, IF(G136="Disagree", 2, IF(G136="Neutral", 3, IF(G136="Agree", 4, IF(G136="Strongly agree", 5, 0)))))</f>
        <v/>
      </c>
    </row>
    <row r="137" ht="28.8" customHeight="1">
      <c r="A137" s="5" t="n">
        <v>136</v>
      </c>
      <c r="B137" s="5" t="inlineStr">
        <is>
          <t>Middle-aged</t>
        </is>
      </c>
      <c r="C137" s="5" t="n">
        <v>2</v>
      </c>
      <c r="D137" s="5" t="inlineStr">
        <is>
          <t>Minnesota</t>
        </is>
      </c>
      <c r="E137" s="5" t="n">
        <v>0</v>
      </c>
      <c r="F137" s="5" t="n">
        <v>91844</v>
      </c>
      <c r="G137" s="5" t="inlineStr">
        <is>
          <t>Strongly agree</t>
        </is>
      </c>
      <c r="H137" s="5">
        <f>IF(C137=1, "Male", "Female")</f>
        <v/>
      </c>
      <c r="I137" s="5">
        <f>IF(E137=0, "No children", "At least one child")</f>
        <v/>
      </c>
      <c r="J137" s="5">
        <f>IF(F137&lt;40000, "Less than 40K", IF(F137&lt;=70000, "Between 40K and 70K", IF(F137&lt;=100000, "Between 70K and 100K", "Greater than 100K")))</f>
        <v/>
      </c>
      <c r="K137" s="5">
        <f>IF(G137="Strongly disagree", 1, IF(G137="Disagree", 2, IF(G137="Neutral", 3, IF(G137="Agree", 4, IF(G137="Strongly agree", 5, 0)))))</f>
        <v/>
      </c>
    </row>
    <row r="138" ht="28.8" customHeight="1">
      <c r="A138" s="5" t="n">
        <v>137</v>
      </c>
      <c r="B138" s="5" t="inlineStr">
        <is>
          <t>Elderly</t>
        </is>
      </c>
      <c r="C138" s="5" t="n">
        <v>2</v>
      </c>
      <c r="D138" s="5" t="inlineStr">
        <is>
          <t>California</t>
        </is>
      </c>
      <c r="E138" s="5" t="n">
        <v>0</v>
      </c>
      <c r="F138" s="5" t="n">
        <v>84163</v>
      </c>
      <c r="G138" s="5" t="inlineStr">
        <is>
          <t>Disagree</t>
        </is>
      </c>
      <c r="H138" s="5">
        <f>IF(C138=1, "Male", "Female")</f>
        <v/>
      </c>
      <c r="I138" s="5">
        <f>IF(E138=0, "No children", "At least one child")</f>
        <v/>
      </c>
      <c r="J138" s="5">
        <f>IF(F138&lt;40000, "Less than 40K", IF(F138&lt;=70000, "Between 40K and 70K", IF(F138&lt;=100000, "Between 70K and 100K", "Greater than 100K")))</f>
        <v/>
      </c>
      <c r="K138" s="5">
        <f>IF(G138="Strongly disagree", 1, IF(G138="Disagree", 2, IF(G138="Neutral", 3, IF(G138="Agree", 4, IF(G138="Strongly agree", 5, 0)))))</f>
        <v/>
      </c>
    </row>
    <row r="139" ht="28.8" customHeight="1">
      <c r="A139" s="5" t="n">
        <v>138</v>
      </c>
      <c r="B139" s="5" t="inlineStr">
        <is>
          <t>Young</t>
        </is>
      </c>
      <c r="C139" s="5" t="n">
        <v>2</v>
      </c>
      <c r="D139" s="5" t="inlineStr">
        <is>
          <t>Florida</t>
        </is>
      </c>
      <c r="E139" s="5" t="n">
        <v>2</v>
      </c>
      <c r="F139" s="5" t="n">
        <v>46015</v>
      </c>
      <c r="G139" s="5" t="inlineStr">
        <is>
          <t>Disagree</t>
        </is>
      </c>
      <c r="H139" s="5">
        <f>IF(C139=1, "Male", "Female")</f>
        <v/>
      </c>
      <c r="I139" s="5">
        <f>IF(E139=0, "No children", "At least one child")</f>
        <v/>
      </c>
      <c r="J139" s="5">
        <f>IF(F139&lt;40000, "Less than 40K", IF(F139&lt;=70000, "Between 40K and 70K", IF(F139&lt;=100000, "Between 70K and 100K", "Greater than 100K")))</f>
        <v/>
      </c>
      <c r="K139" s="5">
        <f>IF(G139="Strongly disagree", 1, IF(G139="Disagree", 2, IF(G139="Neutral", 3, IF(G139="Agree", 4, IF(G139="Strongly agree", 5, 0)))))</f>
        <v/>
      </c>
    </row>
    <row r="140" ht="28.8" customHeight="1">
      <c r="A140" s="5" t="n">
        <v>139</v>
      </c>
      <c r="B140" s="5" t="inlineStr">
        <is>
          <t>Middle-aged</t>
        </is>
      </c>
      <c r="C140" s="5" t="n">
        <v>2</v>
      </c>
      <c r="D140" s="5" t="inlineStr">
        <is>
          <t>Texas</t>
        </is>
      </c>
      <c r="E140" s="5" t="n">
        <v>3</v>
      </c>
      <c r="F140" s="5" t="n">
        <v>64443</v>
      </c>
      <c r="G140" s="5" t="inlineStr">
        <is>
          <t>Agree</t>
        </is>
      </c>
      <c r="H140" s="5">
        <f>IF(C140=1, "Male", "Female")</f>
        <v/>
      </c>
      <c r="I140" s="5">
        <f>IF(E140=0, "No children", "At least one child")</f>
        <v/>
      </c>
      <c r="J140" s="5">
        <f>IF(F140&lt;40000, "Less than 40K", IF(F140&lt;=70000, "Between 40K and 70K", IF(F140&lt;=100000, "Between 70K and 100K", "Greater than 100K")))</f>
        <v/>
      </c>
      <c r="K140" s="5">
        <f>IF(G140="Strongly disagree", 1, IF(G140="Disagree", 2, IF(G140="Neutral", 3, IF(G140="Agree", 4, IF(G140="Strongly agree", 5, 0)))))</f>
        <v/>
      </c>
    </row>
    <row r="141" ht="28.8" customHeight="1">
      <c r="A141" s="5" t="n">
        <v>140</v>
      </c>
      <c r="B141" s="5" t="inlineStr">
        <is>
          <t>Middle-aged</t>
        </is>
      </c>
      <c r="C141" s="5" t="n">
        <v>2</v>
      </c>
      <c r="D141" s="5" t="inlineStr">
        <is>
          <t>Texas</t>
        </is>
      </c>
      <c r="E141" s="5" t="n">
        <v>1</v>
      </c>
      <c r="F141" s="5" t="n">
        <v>90218</v>
      </c>
      <c r="G141" s="5" t="inlineStr">
        <is>
          <t>Disagree</t>
        </is>
      </c>
      <c r="H141" s="5">
        <f>IF(C141=1, "Male", "Female")</f>
        <v/>
      </c>
      <c r="I141" s="5">
        <f>IF(E141=0, "No children", "At least one child")</f>
        <v/>
      </c>
      <c r="J141" s="5">
        <f>IF(F141&lt;40000, "Less than 40K", IF(F141&lt;=70000, "Between 40K and 70K", IF(F141&lt;=100000, "Between 70K and 100K", "Greater than 100K")))</f>
        <v/>
      </c>
      <c r="K141" s="5">
        <f>IF(G141="Strongly disagree", 1, IF(G141="Disagree", 2, IF(G141="Neutral", 3, IF(G141="Agree", 4, IF(G141="Strongly agree", 5, 0)))))</f>
        <v/>
      </c>
    </row>
    <row r="142" ht="28.8" customHeight="1">
      <c r="A142" s="5" t="n">
        <v>141</v>
      </c>
      <c r="B142" s="5" t="inlineStr">
        <is>
          <t>Middle-aged</t>
        </is>
      </c>
      <c r="C142" s="5" t="n">
        <v>1</v>
      </c>
      <c r="D142" s="5" t="inlineStr">
        <is>
          <t>Ohio</t>
        </is>
      </c>
      <c r="E142" s="5" t="n">
        <v>1</v>
      </c>
      <c r="F142" s="5" t="n">
        <v>110627</v>
      </c>
      <c r="G142" s="5" t="inlineStr">
        <is>
          <t>Strongly disagree</t>
        </is>
      </c>
      <c r="H142" s="5">
        <f>IF(C142=1, "Male", "Female")</f>
        <v/>
      </c>
      <c r="I142" s="5">
        <f>IF(E142=0, "No children", "At least one child")</f>
        <v/>
      </c>
      <c r="J142" s="5">
        <f>IF(F142&lt;40000, "Less than 40K", IF(F142&lt;=70000, "Between 40K and 70K", IF(F142&lt;=100000, "Between 70K and 100K", "Greater than 100K")))</f>
        <v/>
      </c>
      <c r="K142" s="5">
        <f>IF(G142="Strongly disagree", 1, IF(G142="Disagree", 2, IF(G142="Neutral", 3, IF(G142="Agree", 4, IF(G142="Strongly agree", 5, 0)))))</f>
        <v/>
      </c>
    </row>
    <row r="143" ht="28.8" customHeight="1">
      <c r="A143" s="5" t="n">
        <v>142</v>
      </c>
      <c r="B143" s="5" t="inlineStr">
        <is>
          <t>Elderly</t>
        </is>
      </c>
      <c r="C143" s="5" t="n">
        <v>1</v>
      </c>
      <c r="D143" s="5" t="inlineStr">
        <is>
          <t>Minnesota</t>
        </is>
      </c>
      <c r="E143" s="5" t="n">
        <v>0</v>
      </c>
      <c r="F143" s="5" t="n">
        <v>58608</v>
      </c>
      <c r="G143" s="5" t="inlineStr">
        <is>
          <t>Strongly agree</t>
        </is>
      </c>
      <c r="H143" s="5">
        <f>IF(C143=1, "Male", "Female")</f>
        <v/>
      </c>
      <c r="I143" s="5">
        <f>IF(E143=0, "No children", "At least one child")</f>
        <v/>
      </c>
      <c r="J143" s="5">
        <f>IF(F143&lt;40000, "Less than 40K", IF(F143&lt;=70000, "Between 40K and 70K", IF(F143&lt;=100000, "Between 70K and 100K", "Greater than 100K")))</f>
        <v/>
      </c>
      <c r="K143" s="5">
        <f>IF(G143="Strongly disagree", 1, IF(G143="Disagree", 2, IF(G143="Neutral", 3, IF(G143="Agree", 4, IF(G143="Strongly agree", 5, 0)))))</f>
        <v/>
      </c>
    </row>
    <row r="144" ht="28.8" customHeight="1">
      <c r="A144" s="5" t="n">
        <v>143</v>
      </c>
      <c r="B144" s="5" t="inlineStr">
        <is>
          <t>Middle-aged</t>
        </is>
      </c>
      <c r="C144" s="5" t="n">
        <v>2</v>
      </c>
      <c r="D144" s="5" t="inlineStr">
        <is>
          <t>Florida</t>
        </is>
      </c>
      <c r="E144" s="5" t="n">
        <v>2</v>
      </c>
      <c r="F144" s="5" t="n">
        <v>115555</v>
      </c>
      <c r="G144" s="5" t="inlineStr">
        <is>
          <t>Strongly agree</t>
        </is>
      </c>
      <c r="H144" s="5">
        <f>IF(C144=1, "Male", "Female")</f>
        <v/>
      </c>
      <c r="I144" s="5">
        <f>IF(E144=0, "No children", "At least one child")</f>
        <v/>
      </c>
      <c r="J144" s="5">
        <f>IF(F144&lt;40000, "Less than 40K", IF(F144&lt;=70000, "Between 40K and 70K", IF(F144&lt;=100000, "Between 70K and 100K", "Greater than 100K")))</f>
        <v/>
      </c>
      <c r="K144" s="5">
        <f>IF(G144="Strongly disagree", 1, IF(G144="Disagree", 2, IF(G144="Neutral", 3, IF(G144="Agree", 4, IF(G144="Strongly agree", 5, 0)))))</f>
        <v/>
      </c>
    </row>
    <row r="145" ht="28.8" customHeight="1">
      <c r="A145" s="5" t="n">
        <v>144</v>
      </c>
      <c r="B145" s="5" t="inlineStr">
        <is>
          <t>Elderly</t>
        </is>
      </c>
      <c r="C145" s="5" t="n">
        <v>1</v>
      </c>
      <c r="D145" s="5" t="inlineStr">
        <is>
          <t>New York</t>
        </is>
      </c>
      <c r="E145" s="5" t="n">
        <v>0</v>
      </c>
      <c r="F145" s="5" t="n">
        <v>44155</v>
      </c>
      <c r="G145" s="5" t="inlineStr">
        <is>
          <t>Disagree</t>
        </is>
      </c>
      <c r="H145" s="5">
        <f>IF(C145=1, "Male", "Female")</f>
        <v/>
      </c>
      <c r="I145" s="5">
        <f>IF(E145=0, "No children", "At least one child")</f>
        <v/>
      </c>
      <c r="J145" s="5">
        <f>IF(F145&lt;40000, "Less than 40K", IF(F145&lt;=70000, "Between 40K and 70K", IF(F145&lt;=100000, "Between 70K and 100K", "Greater than 100K")))</f>
        <v/>
      </c>
      <c r="K145" s="5">
        <f>IF(G145="Strongly disagree", 1, IF(G145="Disagree", 2, IF(G145="Neutral", 3, IF(G145="Agree", 4, IF(G145="Strongly agree", 5, 0)))))</f>
        <v/>
      </c>
    </row>
    <row r="146" ht="28.8" customHeight="1">
      <c r="A146" s="5" t="n">
        <v>145</v>
      </c>
      <c r="B146" s="5" t="inlineStr">
        <is>
          <t>Elderly</t>
        </is>
      </c>
      <c r="C146" s="5" t="n">
        <v>2</v>
      </c>
      <c r="D146" s="5" t="inlineStr">
        <is>
          <t>Florida</t>
        </is>
      </c>
      <c r="E146" s="5" t="n">
        <v>2</v>
      </c>
      <c r="F146" s="5" t="n">
        <v>60375</v>
      </c>
      <c r="G146" s="5" t="inlineStr">
        <is>
          <t>Agree</t>
        </is>
      </c>
      <c r="H146" s="5">
        <f>IF(C146=1, "Male", "Female")</f>
        <v/>
      </c>
      <c r="I146" s="5">
        <f>IF(E146=0, "No children", "At least one child")</f>
        <v/>
      </c>
      <c r="J146" s="5">
        <f>IF(F146&lt;40000, "Less than 40K", IF(F146&lt;=70000, "Between 40K and 70K", IF(F146&lt;=100000, "Between 70K and 100K", "Greater than 100K")))</f>
        <v/>
      </c>
      <c r="K146" s="5">
        <f>IF(G146="Strongly disagree", 1, IF(G146="Disagree", 2, IF(G146="Neutral", 3, IF(G146="Agree", 4, IF(G146="Strongly agree", 5, 0)))))</f>
        <v/>
      </c>
    </row>
    <row r="147" ht="28.8" customHeight="1">
      <c r="A147" s="5" t="n">
        <v>146</v>
      </c>
      <c r="B147" s="5" t="inlineStr">
        <is>
          <t>Middle-aged</t>
        </is>
      </c>
      <c r="C147" s="5" t="n">
        <v>2</v>
      </c>
      <c r="D147" s="5" t="inlineStr">
        <is>
          <t>California</t>
        </is>
      </c>
      <c r="E147" s="5" t="n">
        <v>2</v>
      </c>
      <c r="F147" s="5" t="n">
        <v>115659</v>
      </c>
      <c r="G147" s="5" t="inlineStr">
        <is>
          <t>Strongly disagree</t>
        </is>
      </c>
      <c r="H147" s="5">
        <f>IF(C147=1, "Male", "Female")</f>
        <v/>
      </c>
      <c r="I147" s="5">
        <f>IF(E147=0, "No children", "At least one child")</f>
        <v/>
      </c>
      <c r="J147" s="5">
        <f>IF(F147&lt;40000, "Less than 40K", IF(F147&lt;=70000, "Between 40K and 70K", IF(F147&lt;=100000, "Between 70K and 100K", "Greater than 100K")))</f>
        <v/>
      </c>
      <c r="K147" s="5">
        <f>IF(G147="Strongly disagree", 1, IF(G147="Disagree", 2, IF(G147="Neutral", 3, IF(G147="Agree", 4, IF(G147="Strongly agree", 5, 0)))))</f>
        <v/>
      </c>
    </row>
    <row r="148" ht="28.8" customHeight="1">
      <c r="A148" s="5" t="n">
        <v>147</v>
      </c>
      <c r="B148" s="5" t="inlineStr">
        <is>
          <t>Elderly</t>
        </is>
      </c>
      <c r="C148" s="5" t="n">
        <v>1</v>
      </c>
      <c r="D148" s="5" t="inlineStr">
        <is>
          <t>Florida</t>
        </is>
      </c>
      <c r="E148" s="5" t="n">
        <v>1</v>
      </c>
      <c r="F148" s="5" t="n">
        <v>77152</v>
      </c>
      <c r="G148" s="5" t="inlineStr">
        <is>
          <t>Agree</t>
        </is>
      </c>
      <c r="H148" s="5">
        <f>IF(C148=1, "Male", "Female")</f>
        <v/>
      </c>
      <c r="I148" s="5">
        <f>IF(E148=0, "No children", "At least one child")</f>
        <v/>
      </c>
      <c r="J148" s="5">
        <f>IF(F148&lt;40000, "Less than 40K", IF(F148&lt;=70000, "Between 40K and 70K", IF(F148&lt;=100000, "Between 70K and 100K", "Greater than 100K")))</f>
        <v/>
      </c>
      <c r="K148" s="5">
        <f>IF(G148="Strongly disagree", 1, IF(G148="Disagree", 2, IF(G148="Neutral", 3, IF(G148="Agree", 4, IF(G148="Strongly agree", 5, 0)))))</f>
        <v/>
      </c>
    </row>
    <row r="149" ht="28.8" customHeight="1">
      <c r="A149" s="5" t="n">
        <v>148</v>
      </c>
      <c r="B149" s="5" t="inlineStr">
        <is>
          <t>Middle-aged</t>
        </is>
      </c>
      <c r="C149" s="5" t="n">
        <v>1</v>
      </c>
      <c r="D149" s="5" t="inlineStr">
        <is>
          <t>California</t>
        </is>
      </c>
      <c r="E149" s="5" t="n">
        <v>0</v>
      </c>
      <c r="F149" s="5" t="n">
        <v>132176</v>
      </c>
      <c r="G149" s="5" t="inlineStr">
        <is>
          <t>Disagree</t>
        </is>
      </c>
      <c r="H149" s="5">
        <f>IF(C149=1, "Male", "Female")</f>
        <v/>
      </c>
      <c r="I149" s="5">
        <f>IF(E149=0, "No children", "At least one child")</f>
        <v/>
      </c>
      <c r="J149" s="5">
        <f>IF(F149&lt;40000, "Less than 40K", IF(F149&lt;=70000, "Between 40K and 70K", IF(F149&lt;=100000, "Between 70K and 100K", "Greater than 100K")))</f>
        <v/>
      </c>
      <c r="K149" s="5">
        <f>IF(G149="Strongly disagree", 1, IF(G149="Disagree", 2, IF(G149="Neutral", 3, IF(G149="Agree", 4, IF(G149="Strongly agree", 5, 0)))))</f>
        <v/>
      </c>
    </row>
    <row r="150" ht="28.8" customHeight="1">
      <c r="A150" s="5" t="n">
        <v>149</v>
      </c>
      <c r="B150" s="5" t="inlineStr">
        <is>
          <t>Young</t>
        </is>
      </c>
      <c r="C150" s="5" t="n">
        <v>2</v>
      </c>
      <c r="D150" s="5" t="inlineStr">
        <is>
          <t>California</t>
        </is>
      </c>
      <c r="E150" s="5" t="n">
        <v>0</v>
      </c>
      <c r="F150" s="5" t="n">
        <v>53306</v>
      </c>
      <c r="G150" s="5" t="inlineStr">
        <is>
          <t>Neutral</t>
        </is>
      </c>
      <c r="H150" s="5">
        <f>IF(C150=1, "Male", "Female")</f>
        <v/>
      </c>
      <c r="I150" s="5">
        <f>IF(E150=0, "No children", "At least one child")</f>
        <v/>
      </c>
      <c r="J150" s="5">
        <f>IF(F150&lt;40000, "Less than 40K", IF(F150&lt;=70000, "Between 40K and 70K", IF(F150&lt;=100000, "Between 70K and 100K", "Greater than 100K")))</f>
        <v/>
      </c>
      <c r="K150" s="5">
        <f>IF(G150="Strongly disagree", 1, IF(G150="Disagree", 2, IF(G150="Neutral", 3, IF(G150="Agree", 4, IF(G150="Strongly agree", 5, 0)))))</f>
        <v/>
      </c>
    </row>
    <row r="151" ht="28.8" customHeight="1">
      <c r="A151" s="5" t="n">
        <v>150</v>
      </c>
      <c r="B151" s="5" t="inlineStr">
        <is>
          <t>Young</t>
        </is>
      </c>
      <c r="C151" s="5" t="n">
        <v>2</v>
      </c>
      <c r="D151" s="5" t="inlineStr">
        <is>
          <t>Florida</t>
        </is>
      </c>
      <c r="E151" s="5" t="n">
        <v>2</v>
      </c>
      <c r="F151" s="5" t="n">
        <v>41978</v>
      </c>
      <c r="G151" s="5" t="inlineStr">
        <is>
          <t>Strongly disagree</t>
        </is>
      </c>
      <c r="H151" s="5">
        <f>IF(C151=1, "Male", "Female")</f>
        <v/>
      </c>
      <c r="I151" s="5">
        <f>IF(E151=0, "No children", "At least one child")</f>
        <v/>
      </c>
      <c r="J151" s="5">
        <f>IF(F151&lt;40000, "Less than 40K", IF(F151&lt;=70000, "Between 40K and 70K", IF(F151&lt;=100000, "Between 70K and 100K", "Greater than 100K")))</f>
        <v/>
      </c>
      <c r="K151" s="5">
        <f>IF(G151="Strongly disagree", 1, IF(G151="Disagree", 2, IF(G151="Neutral", 3, IF(G151="Agree", 4, IF(G151="Strongly agree", 5, 0)))))</f>
        <v/>
      </c>
    </row>
    <row r="152" ht="28.8" customHeight="1">
      <c r="A152" s="5" t="n">
        <v>151</v>
      </c>
      <c r="B152" s="5" t="inlineStr">
        <is>
          <t>Elderly</t>
        </is>
      </c>
      <c r="C152" s="5" t="n">
        <v>1</v>
      </c>
      <c r="D152" s="5" t="inlineStr">
        <is>
          <t>Virginia</t>
        </is>
      </c>
      <c r="E152" s="5" t="n">
        <v>0</v>
      </c>
      <c r="F152" s="5" t="n">
        <v>72423</v>
      </c>
      <c r="G152" s="5" t="inlineStr">
        <is>
          <t>Strongly disagree</t>
        </is>
      </c>
      <c r="H152" s="5">
        <f>IF(C152=1, "Male", "Female")</f>
        <v/>
      </c>
      <c r="I152" s="5">
        <f>IF(E152=0, "No children", "At least one child")</f>
        <v/>
      </c>
      <c r="J152" s="5">
        <f>IF(F152&lt;40000, "Less than 40K", IF(F152&lt;=70000, "Between 40K and 70K", IF(F152&lt;=100000, "Between 70K and 100K", "Greater than 100K")))</f>
        <v/>
      </c>
      <c r="K152" s="5">
        <f>IF(G152="Strongly disagree", 1, IF(G152="Disagree", 2, IF(G152="Neutral", 3, IF(G152="Agree", 4, IF(G152="Strongly agree", 5, 0)))))</f>
        <v/>
      </c>
    </row>
    <row r="153" ht="28.8" customHeight="1">
      <c r="A153" s="5" t="n">
        <v>152</v>
      </c>
      <c r="B153" s="5" t="inlineStr">
        <is>
          <t>Young</t>
        </is>
      </c>
      <c r="C153" s="5" t="n">
        <v>1</v>
      </c>
      <c r="D153" s="5" t="inlineStr">
        <is>
          <t>Florida</t>
        </is>
      </c>
      <c r="E153" s="5" t="n">
        <v>3</v>
      </c>
      <c r="F153" s="5" t="n">
        <v>49165</v>
      </c>
      <c r="G153" s="5" t="inlineStr">
        <is>
          <t>Agree</t>
        </is>
      </c>
      <c r="H153" s="5">
        <f>IF(C153=1, "Male", "Female")</f>
        <v/>
      </c>
      <c r="I153" s="5">
        <f>IF(E153=0, "No children", "At least one child")</f>
        <v/>
      </c>
      <c r="J153" s="5">
        <f>IF(F153&lt;40000, "Less than 40K", IF(F153&lt;=70000, "Between 40K and 70K", IF(F153&lt;=100000, "Between 70K and 100K", "Greater than 100K")))</f>
        <v/>
      </c>
      <c r="K153" s="5">
        <f>IF(G153="Strongly disagree", 1, IF(G153="Disagree", 2, IF(G153="Neutral", 3, IF(G153="Agree", 4, IF(G153="Strongly agree", 5, 0)))))</f>
        <v/>
      </c>
    </row>
    <row r="154" ht="28.8" customHeight="1">
      <c r="A154" s="5" t="n">
        <v>153</v>
      </c>
      <c r="B154" s="5" t="inlineStr">
        <is>
          <t>Elderly</t>
        </is>
      </c>
      <c r="C154" s="5" t="n">
        <v>2</v>
      </c>
      <c r="D154" s="5" t="inlineStr">
        <is>
          <t>Arizona</t>
        </is>
      </c>
      <c r="E154" s="5" t="n">
        <v>0</v>
      </c>
      <c r="F154" s="5" t="n">
        <v>92888</v>
      </c>
      <c r="G154" s="5" t="inlineStr">
        <is>
          <t>Strongly agree</t>
        </is>
      </c>
      <c r="H154" s="5">
        <f>IF(C154=1, "Male", "Female")</f>
        <v/>
      </c>
      <c r="I154" s="5">
        <f>IF(E154=0, "No children", "At least one child")</f>
        <v/>
      </c>
      <c r="J154" s="5">
        <f>IF(F154&lt;40000, "Less than 40K", IF(F154&lt;=70000, "Between 40K and 70K", IF(F154&lt;=100000, "Between 70K and 100K", "Greater than 100K")))</f>
        <v/>
      </c>
      <c r="K154" s="5">
        <f>IF(G154="Strongly disagree", 1, IF(G154="Disagree", 2, IF(G154="Neutral", 3, IF(G154="Agree", 4, IF(G154="Strongly agree", 5, 0)))))</f>
        <v/>
      </c>
    </row>
    <row r="155" ht="28.8" customHeight="1">
      <c r="A155" s="5" t="n">
        <v>154</v>
      </c>
      <c r="B155" s="5" t="inlineStr">
        <is>
          <t>Middle-aged</t>
        </is>
      </c>
      <c r="C155" s="5" t="n">
        <v>2</v>
      </c>
      <c r="D155" s="5" t="inlineStr">
        <is>
          <t>Illinois</t>
        </is>
      </c>
      <c r="E155" s="5" t="n">
        <v>1</v>
      </c>
      <c r="F155" s="5" t="n">
        <v>108552</v>
      </c>
      <c r="G155" s="5" t="inlineStr">
        <is>
          <t>Disagree</t>
        </is>
      </c>
      <c r="H155" s="5">
        <f>IF(C155=1, "Male", "Female")</f>
        <v/>
      </c>
      <c r="I155" s="5">
        <f>IF(E155=0, "No children", "At least one child")</f>
        <v/>
      </c>
      <c r="J155" s="5">
        <f>IF(F155&lt;40000, "Less than 40K", IF(F155&lt;=70000, "Between 40K and 70K", IF(F155&lt;=100000, "Between 70K and 100K", "Greater than 100K")))</f>
        <v/>
      </c>
      <c r="K155" s="5">
        <f>IF(G155="Strongly disagree", 1, IF(G155="Disagree", 2, IF(G155="Neutral", 3, IF(G155="Agree", 4, IF(G155="Strongly agree", 5, 0)))))</f>
        <v/>
      </c>
    </row>
    <row r="156" ht="28.8" customHeight="1">
      <c r="A156" s="5" t="n">
        <v>155</v>
      </c>
      <c r="B156" s="5" t="inlineStr">
        <is>
          <t>Middle-aged</t>
        </is>
      </c>
      <c r="C156" s="5" t="n">
        <v>2</v>
      </c>
      <c r="D156" s="5" t="inlineStr">
        <is>
          <t>Minnesota</t>
        </is>
      </c>
      <c r="E156" s="5" t="n">
        <v>1</v>
      </c>
      <c r="F156" s="5" t="n">
        <v>111796</v>
      </c>
      <c r="G156" s="5" t="inlineStr">
        <is>
          <t>Agree</t>
        </is>
      </c>
      <c r="H156" s="5">
        <f>IF(C156=1, "Male", "Female")</f>
        <v/>
      </c>
      <c r="I156" s="5">
        <f>IF(E156=0, "No children", "At least one child")</f>
        <v/>
      </c>
      <c r="J156" s="5">
        <f>IF(F156&lt;40000, "Less than 40K", IF(F156&lt;=70000, "Between 40K and 70K", IF(F156&lt;=100000, "Between 70K and 100K", "Greater than 100K")))</f>
        <v/>
      </c>
      <c r="K156" s="5">
        <f>IF(G156="Strongly disagree", 1, IF(G156="Disagree", 2, IF(G156="Neutral", 3, IF(G156="Agree", 4, IF(G156="Strongly agree", 5, 0)))))</f>
        <v/>
      </c>
    </row>
    <row r="157" ht="28.8" customHeight="1">
      <c r="A157" s="5" t="n">
        <v>156</v>
      </c>
      <c r="B157" s="5" t="inlineStr">
        <is>
          <t>Young</t>
        </is>
      </c>
      <c r="C157" s="5" t="n">
        <v>1</v>
      </c>
      <c r="D157" s="5" t="inlineStr">
        <is>
          <t>Ohio</t>
        </is>
      </c>
      <c r="E157" s="5" t="n">
        <v>0</v>
      </c>
      <c r="F157" s="5" t="n">
        <v>51612</v>
      </c>
      <c r="G157" s="5" t="inlineStr">
        <is>
          <t>Neutral</t>
        </is>
      </c>
      <c r="H157" s="5">
        <f>IF(C157=1, "Male", "Female")</f>
        <v/>
      </c>
      <c r="I157" s="5">
        <f>IF(E157=0, "No children", "At least one child")</f>
        <v/>
      </c>
      <c r="J157" s="5">
        <f>IF(F157&lt;40000, "Less than 40K", IF(F157&lt;=70000, "Between 40K and 70K", IF(F157&lt;=100000, "Between 70K and 100K", "Greater than 100K")))</f>
        <v/>
      </c>
      <c r="K157" s="5">
        <f>IF(G157="Strongly disagree", 1, IF(G157="Disagree", 2, IF(G157="Neutral", 3, IF(G157="Agree", 4, IF(G157="Strongly agree", 5, 0)))))</f>
        <v/>
      </c>
    </row>
    <row r="158" ht="28.8" customHeight="1">
      <c r="A158" s="5" t="n">
        <v>157</v>
      </c>
      <c r="B158" s="5" t="inlineStr">
        <is>
          <t>Elderly</t>
        </is>
      </c>
      <c r="C158" s="5" t="n">
        <v>1</v>
      </c>
      <c r="D158" s="5" t="inlineStr">
        <is>
          <t>California</t>
        </is>
      </c>
      <c r="E158" s="5" t="n">
        <v>0</v>
      </c>
      <c r="F158" s="5" t="n">
        <v>81099</v>
      </c>
      <c r="G158" s="5" t="inlineStr">
        <is>
          <t>Disagree</t>
        </is>
      </c>
      <c r="H158" s="5">
        <f>IF(C158=1, "Male", "Female")</f>
        <v/>
      </c>
      <c r="I158" s="5">
        <f>IF(E158=0, "No children", "At least one child")</f>
        <v/>
      </c>
      <c r="J158" s="5">
        <f>IF(F158&lt;40000, "Less than 40K", IF(F158&lt;=70000, "Between 40K and 70K", IF(F158&lt;=100000, "Between 70K and 100K", "Greater than 100K")))</f>
        <v/>
      </c>
      <c r="K158" s="5">
        <f>IF(G158="Strongly disagree", 1, IF(G158="Disagree", 2, IF(G158="Neutral", 3, IF(G158="Agree", 4, IF(G158="Strongly agree", 5, 0)))))</f>
        <v/>
      </c>
    </row>
    <row r="159" ht="28.8" customHeight="1">
      <c r="A159" s="5" t="n">
        <v>158</v>
      </c>
      <c r="B159" s="5" t="inlineStr">
        <is>
          <t>Elderly</t>
        </is>
      </c>
      <c r="C159" s="5" t="n">
        <v>2</v>
      </c>
      <c r="D159" s="5" t="inlineStr">
        <is>
          <t>Illinois</t>
        </is>
      </c>
      <c r="E159" s="5" t="n">
        <v>3</v>
      </c>
      <c r="F159" s="5" t="n">
        <v>74219</v>
      </c>
      <c r="G159" s="5" t="inlineStr">
        <is>
          <t>Neutral</t>
        </is>
      </c>
      <c r="H159" s="5">
        <f>IF(C159=1, "Male", "Female")</f>
        <v/>
      </c>
      <c r="I159" s="5">
        <f>IF(E159=0, "No children", "At least one child")</f>
        <v/>
      </c>
      <c r="J159" s="5">
        <f>IF(F159&lt;40000, "Less than 40K", IF(F159&lt;=70000, "Between 40K and 70K", IF(F159&lt;=100000, "Between 70K and 100K", "Greater than 100K")))</f>
        <v/>
      </c>
      <c r="K159" s="5">
        <f>IF(G159="Strongly disagree", 1, IF(G159="Disagree", 2, IF(G159="Neutral", 3, IF(G159="Agree", 4, IF(G159="Strongly agree", 5, 0)))))</f>
        <v/>
      </c>
    </row>
    <row r="160" ht="28.8" customHeight="1">
      <c r="A160" s="5" t="n">
        <v>159</v>
      </c>
      <c r="B160" s="5" t="inlineStr">
        <is>
          <t>Young</t>
        </is>
      </c>
      <c r="C160" s="5" t="n">
        <v>1</v>
      </c>
      <c r="D160" s="5" t="inlineStr">
        <is>
          <t>Texas</t>
        </is>
      </c>
      <c r="E160" s="5" t="n">
        <v>0</v>
      </c>
      <c r="F160" s="5" t="n">
        <v>57217</v>
      </c>
      <c r="G160" s="5" t="inlineStr">
        <is>
          <t>Strongly agree</t>
        </is>
      </c>
      <c r="H160" s="5">
        <f>IF(C160=1, "Male", "Female")</f>
        <v/>
      </c>
      <c r="I160" s="5">
        <f>IF(E160=0, "No children", "At least one child")</f>
        <v/>
      </c>
      <c r="J160" s="5">
        <f>IF(F160&lt;40000, "Less than 40K", IF(F160&lt;=70000, "Between 40K and 70K", IF(F160&lt;=100000, "Between 70K and 100K", "Greater than 100K")))</f>
        <v/>
      </c>
      <c r="K160" s="5">
        <f>IF(G160="Strongly disagree", 1, IF(G160="Disagree", 2, IF(G160="Neutral", 3, IF(G160="Agree", 4, IF(G160="Strongly agree", 5, 0)))))</f>
        <v/>
      </c>
    </row>
    <row r="161" ht="28.8" customHeight="1">
      <c r="A161" s="5" t="n">
        <v>160</v>
      </c>
      <c r="B161" s="5" t="inlineStr">
        <is>
          <t>Middle-aged</t>
        </is>
      </c>
      <c r="C161" s="5" t="n">
        <v>2</v>
      </c>
      <c r="D161" s="5" t="inlineStr">
        <is>
          <t>Michigan</t>
        </is>
      </c>
      <c r="E161" s="5" t="n">
        <v>2</v>
      </c>
      <c r="F161" s="5" t="n">
        <v>43824</v>
      </c>
      <c r="G161" s="5" t="inlineStr">
        <is>
          <t>Strongly agree</t>
        </is>
      </c>
      <c r="H161" s="5">
        <f>IF(C161=1, "Male", "Female")</f>
        <v/>
      </c>
      <c r="I161" s="5">
        <f>IF(E161=0, "No children", "At least one child")</f>
        <v/>
      </c>
      <c r="J161" s="5">
        <f>IF(F161&lt;40000, "Less than 40K", IF(F161&lt;=70000, "Between 40K and 70K", IF(F161&lt;=100000, "Between 70K and 100K", "Greater than 100K")))</f>
        <v/>
      </c>
      <c r="K161" s="5">
        <f>IF(G161="Strongly disagree", 1, IF(G161="Disagree", 2, IF(G161="Neutral", 3, IF(G161="Agree", 4, IF(G161="Strongly agree", 5, 0)))))</f>
        <v/>
      </c>
    </row>
    <row r="162" ht="28.8" customHeight="1">
      <c r="A162" s="5" t="n">
        <v>161</v>
      </c>
      <c r="B162" s="5" t="inlineStr">
        <is>
          <t>Elderly</t>
        </is>
      </c>
      <c r="C162" s="5" t="n">
        <v>1</v>
      </c>
      <c r="D162" s="5" t="inlineStr">
        <is>
          <t>Michigan</t>
        </is>
      </c>
      <c r="E162" s="5" t="n">
        <v>1</v>
      </c>
      <c r="F162" s="5" t="n">
        <v>64658</v>
      </c>
      <c r="G162" s="5" t="inlineStr">
        <is>
          <t>Strongly agree</t>
        </is>
      </c>
      <c r="H162" s="5">
        <f>IF(C162=1, "Male", "Female")</f>
        <v/>
      </c>
      <c r="I162" s="5">
        <f>IF(E162=0, "No children", "At least one child")</f>
        <v/>
      </c>
      <c r="J162" s="5">
        <f>IF(F162&lt;40000, "Less than 40K", IF(F162&lt;=70000, "Between 40K and 70K", IF(F162&lt;=100000, "Between 70K and 100K", "Greater than 100K")))</f>
        <v/>
      </c>
      <c r="K162" s="5">
        <f>IF(G162="Strongly disagree", 1, IF(G162="Disagree", 2, IF(G162="Neutral", 3, IF(G162="Agree", 4, IF(G162="Strongly agree", 5, 0)))))</f>
        <v/>
      </c>
    </row>
    <row r="163" ht="28.8" customHeight="1">
      <c r="A163" s="5" t="n">
        <v>162</v>
      </c>
      <c r="B163" s="5" t="inlineStr">
        <is>
          <t>Middle-aged</t>
        </is>
      </c>
      <c r="C163" s="5" t="n">
        <v>1</v>
      </c>
      <c r="D163" s="5" t="inlineStr">
        <is>
          <t>Illinois</t>
        </is>
      </c>
      <c r="E163" s="5" t="n">
        <v>0</v>
      </c>
      <c r="F163" s="5" t="n">
        <v>92025</v>
      </c>
      <c r="G163" s="5" t="inlineStr">
        <is>
          <t>Agree</t>
        </is>
      </c>
      <c r="H163" s="5">
        <f>IF(C163=1, "Male", "Female")</f>
        <v/>
      </c>
      <c r="I163" s="5">
        <f>IF(E163=0, "No children", "At least one child")</f>
        <v/>
      </c>
      <c r="J163" s="5">
        <f>IF(F163&lt;40000, "Less than 40K", IF(F163&lt;=70000, "Between 40K and 70K", IF(F163&lt;=100000, "Between 70K and 100K", "Greater than 100K")))</f>
        <v/>
      </c>
      <c r="K163" s="5">
        <f>IF(G163="Strongly disagree", 1, IF(G163="Disagree", 2, IF(G163="Neutral", 3, IF(G163="Agree", 4, IF(G163="Strongly agree", 5, 0)))))</f>
        <v/>
      </c>
    </row>
    <row r="164" ht="28.8" customHeight="1">
      <c r="A164" s="5" t="n">
        <v>163</v>
      </c>
      <c r="B164" s="5" t="inlineStr">
        <is>
          <t>Young</t>
        </is>
      </c>
      <c r="C164" s="5" t="n">
        <v>2</v>
      </c>
      <c r="D164" s="5" t="inlineStr">
        <is>
          <t>Ohio</t>
        </is>
      </c>
      <c r="E164" s="5" t="n">
        <v>3</v>
      </c>
      <c r="F164" s="5" t="n">
        <v>51169</v>
      </c>
      <c r="G164" s="5" t="inlineStr">
        <is>
          <t>Neutral</t>
        </is>
      </c>
      <c r="H164" s="5">
        <f>IF(C164=1, "Male", "Female")</f>
        <v/>
      </c>
      <c r="I164" s="5">
        <f>IF(E164=0, "No children", "At least one child")</f>
        <v/>
      </c>
      <c r="J164" s="5">
        <f>IF(F164&lt;40000, "Less than 40K", IF(F164&lt;=70000, "Between 40K and 70K", IF(F164&lt;=100000, "Between 70K and 100K", "Greater than 100K")))</f>
        <v/>
      </c>
      <c r="K164" s="5">
        <f>IF(G164="Strongly disagree", 1, IF(G164="Disagree", 2, IF(G164="Neutral", 3, IF(G164="Agree", 4, IF(G164="Strongly agree", 5, 0)))))</f>
        <v/>
      </c>
    </row>
    <row r="165" ht="28.8" customHeight="1">
      <c r="A165" s="5" t="n">
        <v>164</v>
      </c>
      <c r="B165" s="5" t="inlineStr">
        <is>
          <t>Middle-aged</t>
        </is>
      </c>
      <c r="C165" s="5" t="n">
        <v>1</v>
      </c>
      <c r="D165" s="5" t="inlineStr">
        <is>
          <t>New York</t>
        </is>
      </c>
      <c r="E165" s="5" t="n">
        <v>2</v>
      </c>
      <c r="F165" s="5" t="n">
        <v>124005</v>
      </c>
      <c r="G165" s="5" t="inlineStr">
        <is>
          <t>Neutral</t>
        </is>
      </c>
      <c r="H165" s="5">
        <f>IF(C165=1, "Male", "Female")</f>
        <v/>
      </c>
      <c r="I165" s="5">
        <f>IF(E165=0, "No children", "At least one child")</f>
        <v/>
      </c>
      <c r="J165" s="5">
        <f>IF(F165&lt;40000, "Less than 40K", IF(F165&lt;=70000, "Between 40K and 70K", IF(F165&lt;=100000, "Between 70K and 100K", "Greater than 100K")))</f>
        <v/>
      </c>
      <c r="K165" s="5">
        <f>IF(G165="Strongly disagree", 1, IF(G165="Disagree", 2, IF(G165="Neutral", 3, IF(G165="Agree", 4, IF(G165="Strongly agree", 5, 0)))))</f>
        <v/>
      </c>
    </row>
    <row r="166" ht="28.8" customHeight="1">
      <c r="A166" s="5" t="n">
        <v>165</v>
      </c>
      <c r="B166" s="5" t="inlineStr">
        <is>
          <t>Middle-aged</t>
        </is>
      </c>
      <c r="C166" s="5" t="n">
        <v>2</v>
      </c>
      <c r="D166" s="5" t="inlineStr">
        <is>
          <t>Michigan</t>
        </is>
      </c>
      <c r="E166" s="5" t="n">
        <v>0</v>
      </c>
      <c r="F166" s="5" t="n">
        <v>82101</v>
      </c>
      <c r="G166" s="5" t="inlineStr">
        <is>
          <t>Neutral</t>
        </is>
      </c>
      <c r="H166" s="5">
        <f>IF(C166=1, "Male", "Female")</f>
        <v/>
      </c>
      <c r="I166" s="5">
        <f>IF(E166=0, "No children", "At least one child")</f>
        <v/>
      </c>
      <c r="J166" s="5">
        <f>IF(F166&lt;40000, "Less than 40K", IF(F166&lt;=70000, "Between 40K and 70K", IF(F166&lt;=100000, "Between 70K and 100K", "Greater than 100K")))</f>
        <v/>
      </c>
      <c r="K166" s="5">
        <f>IF(G166="Strongly disagree", 1, IF(G166="Disagree", 2, IF(G166="Neutral", 3, IF(G166="Agree", 4, IF(G166="Strongly agree", 5, 0)))))</f>
        <v/>
      </c>
    </row>
    <row r="167" ht="28.8" customHeight="1">
      <c r="A167" s="5" t="n">
        <v>166</v>
      </c>
      <c r="B167" s="5" t="inlineStr">
        <is>
          <t>Middle-aged</t>
        </is>
      </c>
      <c r="C167" s="5" t="n">
        <v>2</v>
      </c>
      <c r="D167" s="5" t="inlineStr">
        <is>
          <t>Illinois</t>
        </is>
      </c>
      <c r="E167" s="5" t="n">
        <v>1</v>
      </c>
      <c r="F167" s="5" t="n">
        <v>111213</v>
      </c>
      <c r="G167" s="5" t="inlineStr">
        <is>
          <t>Agree</t>
        </is>
      </c>
      <c r="H167" s="5">
        <f>IF(C167=1, "Male", "Female")</f>
        <v/>
      </c>
      <c r="I167" s="5">
        <f>IF(E167=0, "No children", "At least one child")</f>
        <v/>
      </c>
      <c r="J167" s="5">
        <f>IF(F167&lt;40000, "Less than 40K", IF(F167&lt;=70000, "Between 40K and 70K", IF(F167&lt;=100000, "Between 70K and 100K", "Greater than 100K")))</f>
        <v/>
      </c>
      <c r="K167" s="5">
        <f>IF(G167="Strongly disagree", 1, IF(G167="Disagree", 2, IF(G167="Neutral", 3, IF(G167="Agree", 4, IF(G167="Strongly agree", 5, 0)))))</f>
        <v/>
      </c>
    </row>
    <row r="168" ht="28.8" customHeight="1">
      <c r="A168" s="5" t="n">
        <v>167</v>
      </c>
      <c r="B168" s="5" t="inlineStr">
        <is>
          <t>Middle-aged</t>
        </is>
      </c>
      <c r="C168" s="5" t="n">
        <v>2</v>
      </c>
      <c r="D168" s="5" t="inlineStr">
        <is>
          <t>Virginia</t>
        </is>
      </c>
      <c r="E168" s="5" t="n">
        <v>1</v>
      </c>
      <c r="F168" s="5" t="n">
        <v>71078</v>
      </c>
      <c r="G168" s="5" t="inlineStr">
        <is>
          <t>Strongly disagree</t>
        </is>
      </c>
      <c r="H168" s="5">
        <f>IF(C168=1, "Male", "Female")</f>
        <v/>
      </c>
      <c r="I168" s="5">
        <f>IF(E168=0, "No children", "At least one child")</f>
        <v/>
      </c>
      <c r="J168" s="5">
        <f>IF(F168&lt;40000, "Less than 40K", IF(F168&lt;=70000, "Between 40K and 70K", IF(F168&lt;=100000, "Between 70K and 100K", "Greater than 100K")))</f>
        <v/>
      </c>
      <c r="K168" s="5">
        <f>IF(G168="Strongly disagree", 1, IF(G168="Disagree", 2, IF(G168="Neutral", 3, IF(G168="Agree", 4, IF(G168="Strongly agree", 5, 0)))))</f>
        <v/>
      </c>
    </row>
    <row r="169" ht="28.8" customHeight="1">
      <c r="A169" s="5" t="n">
        <v>168</v>
      </c>
      <c r="B169" s="5" t="inlineStr">
        <is>
          <t>Middle-aged</t>
        </is>
      </c>
      <c r="C169" s="5" t="n">
        <v>1</v>
      </c>
      <c r="D169" s="5" t="inlineStr">
        <is>
          <t>New York</t>
        </is>
      </c>
      <c r="E169" s="5" t="n">
        <v>2</v>
      </c>
      <c r="F169" s="5" t="n">
        <v>124798</v>
      </c>
      <c r="G169" s="5" t="inlineStr">
        <is>
          <t>Agree</t>
        </is>
      </c>
      <c r="H169" s="5">
        <f>IF(C169=1, "Male", "Female")</f>
        <v/>
      </c>
      <c r="I169" s="5">
        <f>IF(E169=0, "No children", "At least one child")</f>
        <v/>
      </c>
      <c r="J169" s="5">
        <f>IF(F169&lt;40000, "Less than 40K", IF(F169&lt;=70000, "Between 40K and 70K", IF(F169&lt;=100000, "Between 70K and 100K", "Greater than 100K")))</f>
        <v/>
      </c>
      <c r="K169" s="5">
        <f>IF(G169="Strongly disagree", 1, IF(G169="Disagree", 2, IF(G169="Neutral", 3, IF(G169="Agree", 4, IF(G169="Strongly agree", 5, 0)))))</f>
        <v/>
      </c>
    </row>
    <row r="170">
      <c r="A170" s="5" t="n">
        <v>169</v>
      </c>
      <c r="B170" s="5" t="inlineStr">
        <is>
          <t>Young</t>
        </is>
      </c>
      <c r="C170" s="5" t="n">
        <v>2</v>
      </c>
      <c r="D170" s="5" t="inlineStr">
        <is>
          <t>Michigan</t>
        </is>
      </c>
      <c r="E170" s="5" t="n">
        <v>1</v>
      </c>
      <c r="F170" s="5" t="n">
        <v>36564</v>
      </c>
      <c r="G170" s="5" t="inlineStr">
        <is>
          <t>Agree</t>
        </is>
      </c>
      <c r="H170" s="5">
        <f>IF(C170=1, "Male", "Female")</f>
        <v/>
      </c>
      <c r="I170" s="5">
        <f>IF(E170=0, "No children", "At least one child")</f>
        <v/>
      </c>
      <c r="J170" s="5">
        <f>IF(F170&lt;40000, "Less than 40K", IF(F170&lt;=70000, "Between 40K and 70K", IF(F170&lt;=100000, "Between 70K and 100K", "Greater than 100K")))</f>
        <v/>
      </c>
      <c r="K170" s="5">
        <f>IF(G170="Strongly disagree", 1, IF(G170="Disagree", 2, IF(G170="Neutral", 3, IF(G170="Agree", 4, IF(G170="Strongly agree", 5, 0)))))</f>
        <v/>
      </c>
    </row>
    <row r="171" ht="28.8" customHeight="1">
      <c r="A171" s="5" t="n">
        <v>170</v>
      </c>
      <c r="B171" s="5" t="inlineStr">
        <is>
          <t>Middle-aged</t>
        </is>
      </c>
      <c r="C171" s="5" t="n">
        <v>2</v>
      </c>
      <c r="D171" s="5" t="inlineStr">
        <is>
          <t>Texas</t>
        </is>
      </c>
      <c r="E171" s="5" t="n">
        <v>0</v>
      </c>
      <c r="F171" s="5" t="n">
        <v>82327</v>
      </c>
      <c r="G171" s="5" t="inlineStr">
        <is>
          <t>Agree</t>
        </is>
      </c>
      <c r="H171" s="5">
        <f>IF(C171=1, "Male", "Female")</f>
        <v/>
      </c>
      <c r="I171" s="5">
        <f>IF(E171=0, "No children", "At least one child")</f>
        <v/>
      </c>
      <c r="J171" s="5">
        <f>IF(F171&lt;40000, "Less than 40K", IF(F171&lt;=70000, "Between 40K and 70K", IF(F171&lt;=100000, "Between 70K and 100K", "Greater than 100K")))</f>
        <v/>
      </c>
      <c r="K171" s="5">
        <f>IF(G171="Strongly disagree", 1, IF(G171="Disagree", 2, IF(G171="Neutral", 3, IF(G171="Agree", 4, IF(G171="Strongly agree", 5, 0)))))</f>
        <v/>
      </c>
    </row>
    <row r="172" ht="28.8" customHeight="1">
      <c r="A172" s="5" t="n">
        <v>171</v>
      </c>
      <c r="B172" s="5" t="inlineStr">
        <is>
          <t>Middle-aged</t>
        </is>
      </c>
      <c r="C172" s="5" t="n">
        <v>1</v>
      </c>
      <c r="D172" s="5" t="inlineStr">
        <is>
          <t>Michigan</t>
        </is>
      </c>
      <c r="E172" s="5" t="n">
        <v>0</v>
      </c>
      <c r="F172" s="5" t="n">
        <v>119992</v>
      </c>
      <c r="G172" s="5" t="inlineStr">
        <is>
          <t>Disagree</t>
        </is>
      </c>
      <c r="H172" s="5">
        <f>IF(C172=1, "Male", "Female")</f>
        <v/>
      </c>
      <c r="I172" s="5">
        <f>IF(E172=0, "No children", "At least one child")</f>
        <v/>
      </c>
      <c r="J172" s="5">
        <f>IF(F172&lt;40000, "Less than 40K", IF(F172&lt;=70000, "Between 40K and 70K", IF(F172&lt;=100000, "Between 70K and 100K", "Greater than 100K")))</f>
        <v/>
      </c>
      <c r="K172" s="5">
        <f>IF(G172="Strongly disagree", 1, IF(G172="Disagree", 2, IF(G172="Neutral", 3, IF(G172="Agree", 4, IF(G172="Strongly agree", 5, 0)))))</f>
        <v/>
      </c>
    </row>
    <row r="173" ht="28.8" customHeight="1">
      <c r="A173" s="5" t="n">
        <v>172</v>
      </c>
      <c r="B173" s="5" t="inlineStr">
        <is>
          <t>Middle-aged</t>
        </is>
      </c>
      <c r="C173" s="5" t="n">
        <v>2</v>
      </c>
      <c r="D173" s="5" t="inlineStr">
        <is>
          <t>Florida</t>
        </is>
      </c>
      <c r="E173" s="5" t="n">
        <v>2</v>
      </c>
      <c r="F173" s="5" t="n">
        <v>160134</v>
      </c>
      <c r="G173" s="5" t="inlineStr">
        <is>
          <t>Neutral</t>
        </is>
      </c>
      <c r="H173" s="5">
        <f>IF(C173=1, "Male", "Female")</f>
        <v/>
      </c>
      <c r="I173" s="5">
        <f>IF(E173=0, "No children", "At least one child")</f>
        <v/>
      </c>
      <c r="J173" s="5">
        <f>IF(F173&lt;40000, "Less than 40K", IF(F173&lt;=70000, "Between 40K and 70K", IF(F173&lt;=100000, "Between 70K and 100K", "Greater than 100K")))</f>
        <v/>
      </c>
      <c r="K173" s="5">
        <f>IF(G173="Strongly disagree", 1, IF(G173="Disagree", 2, IF(G173="Neutral", 3, IF(G173="Agree", 4, IF(G173="Strongly agree", 5, 0)))))</f>
        <v/>
      </c>
    </row>
    <row r="174" ht="28.8" customHeight="1">
      <c r="A174" s="5" t="n">
        <v>173</v>
      </c>
      <c r="B174" s="5" t="inlineStr">
        <is>
          <t>Elderly</t>
        </is>
      </c>
      <c r="C174" s="5" t="n">
        <v>1</v>
      </c>
      <c r="D174" s="5" t="inlineStr">
        <is>
          <t>Texas</t>
        </is>
      </c>
      <c r="E174" s="5" t="n">
        <v>2</v>
      </c>
      <c r="F174" s="5" t="n">
        <v>92538</v>
      </c>
      <c r="G174" s="5" t="inlineStr">
        <is>
          <t>Agree</t>
        </is>
      </c>
      <c r="H174" s="5">
        <f>IF(C174=1, "Male", "Female")</f>
        <v/>
      </c>
      <c r="I174" s="5">
        <f>IF(E174=0, "No children", "At least one child")</f>
        <v/>
      </c>
      <c r="J174" s="5">
        <f>IF(F174&lt;40000, "Less than 40K", IF(F174&lt;=70000, "Between 40K and 70K", IF(F174&lt;=100000, "Between 70K and 100K", "Greater than 100K")))</f>
        <v/>
      </c>
      <c r="K174" s="5">
        <f>IF(G174="Strongly disagree", 1, IF(G174="Disagree", 2, IF(G174="Neutral", 3, IF(G174="Agree", 4, IF(G174="Strongly agree", 5, 0)))))</f>
        <v/>
      </c>
    </row>
    <row r="175" ht="28.8" customHeight="1">
      <c r="A175" s="5" t="n">
        <v>174</v>
      </c>
      <c r="B175" s="5" t="inlineStr">
        <is>
          <t>Elderly</t>
        </is>
      </c>
      <c r="C175" s="5" t="n">
        <v>2</v>
      </c>
      <c r="D175" s="5" t="inlineStr">
        <is>
          <t>Ohio</t>
        </is>
      </c>
      <c r="E175" s="5" t="n">
        <v>1</v>
      </c>
      <c r="F175" s="5" t="n">
        <v>46243</v>
      </c>
      <c r="G175" s="5" t="inlineStr">
        <is>
          <t>Agree</t>
        </is>
      </c>
      <c r="H175" s="5">
        <f>IF(C175=1, "Male", "Female")</f>
        <v/>
      </c>
      <c r="I175" s="5">
        <f>IF(E175=0, "No children", "At least one child")</f>
        <v/>
      </c>
      <c r="J175" s="5">
        <f>IF(F175&lt;40000, "Less than 40K", IF(F175&lt;=70000, "Between 40K and 70K", IF(F175&lt;=100000, "Between 70K and 100K", "Greater than 100K")))</f>
        <v/>
      </c>
      <c r="K175" s="5">
        <f>IF(G175="Strongly disagree", 1, IF(G175="Disagree", 2, IF(G175="Neutral", 3, IF(G175="Agree", 4, IF(G175="Strongly agree", 5, 0)))))</f>
        <v/>
      </c>
    </row>
    <row r="176" ht="28.8" customHeight="1">
      <c r="A176" s="5" t="n">
        <v>175</v>
      </c>
      <c r="B176" s="5" t="inlineStr">
        <is>
          <t>Middle-aged</t>
        </is>
      </c>
      <c r="C176" s="5" t="n">
        <v>2</v>
      </c>
      <c r="D176" s="5" t="inlineStr">
        <is>
          <t>Minnesota</t>
        </is>
      </c>
      <c r="E176" s="5" t="n">
        <v>2</v>
      </c>
      <c r="F176" s="5" t="n">
        <v>104772</v>
      </c>
      <c r="G176" s="5" t="inlineStr">
        <is>
          <t>Agree</t>
        </is>
      </c>
      <c r="H176" s="5">
        <f>IF(C176=1, "Male", "Female")</f>
        <v/>
      </c>
      <c r="I176" s="5">
        <f>IF(E176=0, "No children", "At least one child")</f>
        <v/>
      </c>
      <c r="J176" s="5">
        <f>IF(F176&lt;40000, "Less than 40K", IF(F176&lt;=70000, "Between 40K and 70K", IF(F176&lt;=100000, "Between 70K and 100K", "Greater than 100K")))</f>
        <v/>
      </c>
      <c r="K176" s="5">
        <f>IF(G176="Strongly disagree", 1, IF(G176="Disagree", 2, IF(G176="Neutral", 3, IF(G176="Agree", 4, IF(G176="Strongly agree", 5, 0)))))</f>
        <v/>
      </c>
    </row>
    <row r="177" ht="28.8" customHeight="1">
      <c r="A177" s="5" t="n">
        <v>176</v>
      </c>
      <c r="B177" s="5" t="inlineStr">
        <is>
          <t>Middle-aged</t>
        </is>
      </c>
      <c r="C177" s="5" t="n">
        <v>1</v>
      </c>
      <c r="D177" s="5" t="inlineStr">
        <is>
          <t>Minnesota</t>
        </is>
      </c>
      <c r="E177" s="5" t="n">
        <v>0</v>
      </c>
      <c r="F177" s="5" t="n">
        <v>85603</v>
      </c>
      <c r="G177" s="5" t="inlineStr">
        <is>
          <t>Strongly disagree</t>
        </is>
      </c>
      <c r="H177" s="5">
        <f>IF(C177=1, "Male", "Female")</f>
        <v/>
      </c>
      <c r="I177" s="5">
        <f>IF(E177=0, "No children", "At least one child")</f>
        <v/>
      </c>
      <c r="J177" s="5">
        <f>IF(F177&lt;40000, "Less than 40K", IF(F177&lt;=70000, "Between 40K and 70K", IF(F177&lt;=100000, "Between 70K and 100K", "Greater than 100K")))</f>
        <v/>
      </c>
      <c r="K177" s="5">
        <f>IF(G177="Strongly disagree", 1, IF(G177="Disagree", 2, IF(G177="Neutral", 3, IF(G177="Agree", 4, IF(G177="Strongly agree", 5, 0)))))</f>
        <v/>
      </c>
    </row>
    <row r="178" ht="28.8" customHeight="1">
      <c r="A178" s="5" t="n">
        <v>177</v>
      </c>
      <c r="B178" s="5" t="inlineStr">
        <is>
          <t>Middle-aged</t>
        </is>
      </c>
      <c r="C178" s="5" t="n">
        <v>2</v>
      </c>
      <c r="D178" s="5" t="inlineStr">
        <is>
          <t>Florida</t>
        </is>
      </c>
      <c r="E178" s="5" t="n">
        <v>2</v>
      </c>
      <c r="F178" s="5" t="n">
        <v>75997</v>
      </c>
      <c r="G178" s="5" t="inlineStr">
        <is>
          <t>Neutral</t>
        </is>
      </c>
      <c r="H178" s="5">
        <f>IF(C178=1, "Male", "Female")</f>
        <v/>
      </c>
      <c r="I178" s="5">
        <f>IF(E178=0, "No children", "At least one child")</f>
        <v/>
      </c>
      <c r="J178" s="5">
        <f>IF(F178&lt;40000, "Less than 40K", IF(F178&lt;=70000, "Between 40K and 70K", IF(F178&lt;=100000, "Between 70K and 100K", "Greater than 100K")))</f>
        <v/>
      </c>
      <c r="K178" s="5">
        <f>IF(G178="Strongly disagree", 1, IF(G178="Disagree", 2, IF(G178="Neutral", 3, IF(G178="Agree", 4, IF(G178="Strongly agree", 5, 0)))))</f>
        <v/>
      </c>
    </row>
    <row r="179" ht="28.8" customHeight="1">
      <c r="A179" s="5" t="n">
        <v>178</v>
      </c>
      <c r="B179" s="5" t="inlineStr">
        <is>
          <t>Middle-aged</t>
        </is>
      </c>
      <c r="C179" s="5" t="n">
        <v>2</v>
      </c>
      <c r="D179" s="5" t="inlineStr">
        <is>
          <t>New York</t>
        </is>
      </c>
      <c r="E179" s="5" t="n">
        <v>2</v>
      </c>
      <c r="F179" s="5" t="n">
        <v>84313</v>
      </c>
      <c r="G179" s="5" t="inlineStr">
        <is>
          <t>Neutral</t>
        </is>
      </c>
      <c r="H179" s="5">
        <f>IF(C179=1, "Male", "Female")</f>
        <v/>
      </c>
      <c r="I179" s="5">
        <f>IF(E179=0, "No children", "At least one child")</f>
        <v/>
      </c>
      <c r="J179" s="5">
        <f>IF(F179&lt;40000, "Less than 40K", IF(F179&lt;=70000, "Between 40K and 70K", IF(F179&lt;=100000, "Between 70K and 100K", "Greater than 100K")))</f>
        <v/>
      </c>
      <c r="K179" s="5">
        <f>IF(G179="Strongly disagree", 1, IF(G179="Disagree", 2, IF(G179="Neutral", 3, IF(G179="Agree", 4, IF(G179="Strongly agree", 5, 0)))))</f>
        <v/>
      </c>
    </row>
    <row r="180" ht="28.8" customHeight="1">
      <c r="A180" s="5" t="n">
        <v>179</v>
      </c>
      <c r="B180" s="5" t="inlineStr">
        <is>
          <t>Middle-aged</t>
        </is>
      </c>
      <c r="C180" s="5" t="n">
        <v>1</v>
      </c>
      <c r="D180" s="5" t="inlineStr">
        <is>
          <t>New York</t>
        </is>
      </c>
      <c r="E180" s="5" t="n">
        <v>2</v>
      </c>
      <c r="F180" s="5" t="n">
        <v>98889</v>
      </c>
      <c r="G180" s="5" t="inlineStr">
        <is>
          <t>Disagree</t>
        </is>
      </c>
      <c r="H180" s="5">
        <f>IF(C180=1, "Male", "Female")</f>
        <v/>
      </c>
      <c r="I180" s="5">
        <f>IF(E180=0, "No children", "At least one child")</f>
        <v/>
      </c>
      <c r="J180" s="5">
        <f>IF(F180&lt;40000, "Less than 40K", IF(F180&lt;=70000, "Between 40K and 70K", IF(F180&lt;=100000, "Between 70K and 100K", "Greater than 100K")))</f>
        <v/>
      </c>
      <c r="K180" s="5">
        <f>IF(G180="Strongly disagree", 1, IF(G180="Disagree", 2, IF(G180="Neutral", 3, IF(G180="Agree", 4, IF(G180="Strongly agree", 5, 0)))))</f>
        <v/>
      </c>
    </row>
    <row r="181">
      <c r="A181" s="5" t="n">
        <v>180</v>
      </c>
      <c r="B181" s="5" t="inlineStr">
        <is>
          <t>Young</t>
        </is>
      </c>
      <c r="C181" s="5" t="n">
        <v>2</v>
      </c>
      <c r="D181" s="5" t="inlineStr">
        <is>
          <t>Ohio</t>
        </is>
      </c>
      <c r="E181" s="5" t="n">
        <v>2</v>
      </c>
      <c r="F181" s="5" t="n">
        <v>28124</v>
      </c>
      <c r="G181" s="5" t="inlineStr">
        <is>
          <t>Disagree</t>
        </is>
      </c>
      <c r="H181" s="5">
        <f>IF(C181=1, "Male", "Female")</f>
        <v/>
      </c>
      <c r="I181" s="5">
        <f>IF(E181=0, "No children", "At least one child")</f>
        <v/>
      </c>
      <c r="J181" s="5">
        <f>IF(F181&lt;40000, "Less than 40K", IF(F181&lt;=70000, "Between 40K and 70K", IF(F181&lt;=100000, "Between 70K and 100K", "Greater than 100K")))</f>
        <v/>
      </c>
      <c r="K181" s="5">
        <f>IF(G181="Strongly disagree", 1, IF(G181="Disagree", 2, IF(G181="Neutral", 3, IF(G181="Agree", 4, IF(G181="Strongly agree", 5, 0)))))</f>
        <v/>
      </c>
    </row>
    <row r="182" ht="28.8" customHeight="1">
      <c r="A182" s="5" t="n">
        <v>181</v>
      </c>
      <c r="B182" s="5" t="inlineStr">
        <is>
          <t>Elderly</t>
        </is>
      </c>
      <c r="C182" s="5" t="n">
        <v>2</v>
      </c>
      <c r="D182" s="5" t="inlineStr">
        <is>
          <t>Minnesota</t>
        </is>
      </c>
      <c r="E182" s="5" t="n">
        <v>2</v>
      </c>
      <c r="F182" s="5" t="n">
        <v>79212</v>
      </c>
      <c r="G182" s="5" t="inlineStr">
        <is>
          <t>Strongly disagree</t>
        </is>
      </c>
      <c r="H182" s="5">
        <f>IF(C182=1, "Male", "Female")</f>
        <v/>
      </c>
      <c r="I182" s="5">
        <f>IF(E182=0, "No children", "At least one child")</f>
        <v/>
      </c>
      <c r="J182" s="5">
        <f>IF(F182&lt;40000, "Less than 40K", IF(F182&lt;=70000, "Between 40K and 70K", IF(F182&lt;=100000, "Between 70K and 100K", "Greater than 100K")))</f>
        <v/>
      </c>
      <c r="K182" s="5">
        <f>IF(G182="Strongly disagree", 1, IF(G182="Disagree", 2, IF(G182="Neutral", 3, IF(G182="Agree", 4, IF(G182="Strongly agree", 5, 0)))))</f>
        <v/>
      </c>
    </row>
    <row r="183" ht="28.8" customHeight="1">
      <c r="A183" s="5" t="n">
        <v>182</v>
      </c>
      <c r="B183" s="5" t="inlineStr">
        <is>
          <t>Elderly</t>
        </is>
      </c>
      <c r="C183" s="5" t="n">
        <v>1</v>
      </c>
      <c r="D183" s="5" t="inlineStr">
        <is>
          <t>Michigan</t>
        </is>
      </c>
      <c r="E183" s="5" t="n">
        <v>2</v>
      </c>
      <c r="F183" s="5" t="n">
        <v>85301</v>
      </c>
      <c r="G183" s="5" t="inlineStr">
        <is>
          <t>Disagree</t>
        </is>
      </c>
      <c r="H183" s="5">
        <f>IF(C183=1, "Male", "Female")</f>
        <v/>
      </c>
      <c r="I183" s="5">
        <f>IF(E183=0, "No children", "At least one child")</f>
        <v/>
      </c>
      <c r="J183" s="5">
        <f>IF(F183&lt;40000, "Less than 40K", IF(F183&lt;=70000, "Between 40K and 70K", IF(F183&lt;=100000, "Between 70K and 100K", "Greater than 100K")))</f>
        <v/>
      </c>
      <c r="K183" s="5">
        <f>IF(G183="Strongly disagree", 1, IF(G183="Disagree", 2, IF(G183="Neutral", 3, IF(G183="Agree", 4, IF(G183="Strongly agree", 5, 0)))))</f>
        <v/>
      </c>
    </row>
    <row r="184" ht="28.8" customHeight="1">
      <c r="A184" s="5" t="n">
        <v>183</v>
      </c>
      <c r="B184" s="5" t="inlineStr">
        <is>
          <t>Middle-aged</t>
        </is>
      </c>
      <c r="C184" s="5" t="n">
        <v>2</v>
      </c>
      <c r="D184" s="5" t="inlineStr">
        <is>
          <t>Texas</t>
        </is>
      </c>
      <c r="E184" s="5" t="n">
        <v>0</v>
      </c>
      <c r="F184" s="5" t="n">
        <v>59157</v>
      </c>
      <c r="G184" s="5" t="inlineStr">
        <is>
          <t>Disagree</t>
        </is>
      </c>
      <c r="H184" s="5">
        <f>IF(C184=1, "Male", "Female")</f>
        <v/>
      </c>
      <c r="I184" s="5">
        <f>IF(E184=0, "No children", "At least one child")</f>
        <v/>
      </c>
      <c r="J184" s="5">
        <f>IF(F184&lt;40000, "Less than 40K", IF(F184&lt;=70000, "Between 40K and 70K", IF(F184&lt;=100000, "Between 70K and 100K", "Greater than 100K")))</f>
        <v/>
      </c>
      <c r="K184" s="5">
        <f>IF(G184="Strongly disagree", 1, IF(G184="Disagree", 2, IF(G184="Neutral", 3, IF(G184="Agree", 4, IF(G184="Strongly agree", 5, 0)))))</f>
        <v/>
      </c>
    </row>
    <row r="185" ht="28.8" customHeight="1">
      <c r="A185" s="5" t="n">
        <v>184</v>
      </c>
      <c r="B185" s="5" t="inlineStr">
        <is>
          <t>Middle-aged</t>
        </is>
      </c>
      <c r="C185" s="5" t="n">
        <v>2</v>
      </c>
      <c r="D185" s="5" t="inlineStr">
        <is>
          <t>Michigan</t>
        </is>
      </c>
      <c r="E185" s="5" t="n">
        <v>1</v>
      </c>
      <c r="F185" s="5" t="n">
        <v>70989</v>
      </c>
      <c r="G185" s="5" t="inlineStr">
        <is>
          <t>Disagree</t>
        </is>
      </c>
      <c r="H185" s="5">
        <f>IF(C185=1, "Male", "Female")</f>
        <v/>
      </c>
      <c r="I185" s="5">
        <f>IF(E185=0, "No children", "At least one child")</f>
        <v/>
      </c>
      <c r="J185" s="5">
        <f>IF(F185&lt;40000, "Less than 40K", IF(F185&lt;=70000, "Between 40K and 70K", IF(F185&lt;=100000, "Between 70K and 100K", "Greater than 100K")))</f>
        <v/>
      </c>
      <c r="K185" s="5">
        <f>IF(G185="Strongly disagree", 1, IF(G185="Disagree", 2, IF(G185="Neutral", 3, IF(G185="Agree", 4, IF(G185="Strongly agree", 5, 0)))))</f>
        <v/>
      </c>
    </row>
    <row r="186" ht="28.8" customHeight="1">
      <c r="A186" s="5" t="n">
        <v>185</v>
      </c>
      <c r="B186" s="5" t="inlineStr">
        <is>
          <t>Young</t>
        </is>
      </c>
      <c r="C186" s="5" t="n">
        <v>1</v>
      </c>
      <c r="D186" s="5" t="inlineStr">
        <is>
          <t>Virginia</t>
        </is>
      </c>
      <c r="E186" s="5" t="n">
        <v>1</v>
      </c>
      <c r="F186" s="5" t="n">
        <v>65992</v>
      </c>
      <c r="G186" s="5" t="inlineStr">
        <is>
          <t>Agree</t>
        </is>
      </c>
      <c r="H186" s="5">
        <f>IF(C186=1, "Male", "Female")</f>
        <v/>
      </c>
      <c r="I186" s="5">
        <f>IF(E186=0, "No children", "At least one child")</f>
        <v/>
      </c>
      <c r="J186" s="5">
        <f>IF(F186&lt;40000, "Less than 40K", IF(F186&lt;=70000, "Between 40K and 70K", IF(F186&lt;=100000, "Between 70K and 100K", "Greater than 100K")))</f>
        <v/>
      </c>
      <c r="K186" s="5">
        <f>IF(G186="Strongly disagree", 1, IF(G186="Disagree", 2, IF(G186="Neutral", 3, IF(G186="Agree", 4, IF(G186="Strongly agree", 5, 0)))))</f>
        <v/>
      </c>
    </row>
    <row r="187" ht="28.8" customHeight="1">
      <c r="A187" s="5" t="n">
        <v>186</v>
      </c>
      <c r="B187" s="5" t="inlineStr">
        <is>
          <t>Young</t>
        </is>
      </c>
      <c r="C187" s="5" t="n">
        <v>2</v>
      </c>
      <c r="D187" s="5" t="inlineStr">
        <is>
          <t>California</t>
        </is>
      </c>
      <c r="E187" s="5" t="n">
        <v>0</v>
      </c>
      <c r="F187" s="5" t="n">
        <v>46848</v>
      </c>
      <c r="G187" s="5" t="inlineStr">
        <is>
          <t>Strongly disagree</t>
        </is>
      </c>
      <c r="H187" s="5">
        <f>IF(C187=1, "Male", "Female")</f>
        <v/>
      </c>
      <c r="I187" s="5">
        <f>IF(E187=0, "No children", "At least one child")</f>
        <v/>
      </c>
      <c r="J187" s="5">
        <f>IF(F187&lt;40000, "Less than 40K", IF(F187&lt;=70000, "Between 40K and 70K", IF(F187&lt;=100000, "Between 70K and 100K", "Greater than 100K")))</f>
        <v/>
      </c>
      <c r="K187" s="5">
        <f>IF(G187="Strongly disagree", 1, IF(G187="Disagree", 2, IF(G187="Neutral", 3, IF(G187="Agree", 4, IF(G187="Strongly agree", 5, 0)))))</f>
        <v/>
      </c>
    </row>
    <row r="188" ht="28.8" customHeight="1">
      <c r="A188" s="5" t="n">
        <v>187</v>
      </c>
      <c r="B188" s="5" t="inlineStr">
        <is>
          <t>Young</t>
        </is>
      </c>
      <c r="C188" s="5" t="n">
        <v>2</v>
      </c>
      <c r="D188" s="5" t="inlineStr">
        <is>
          <t>New York</t>
        </is>
      </c>
      <c r="E188" s="5" t="n">
        <v>2</v>
      </c>
      <c r="F188" s="5" t="n">
        <v>45950</v>
      </c>
      <c r="G188" s="5" t="inlineStr">
        <is>
          <t>Neutral</t>
        </is>
      </c>
      <c r="H188" s="5">
        <f>IF(C188=1, "Male", "Female")</f>
        <v/>
      </c>
      <c r="I188" s="5">
        <f>IF(E188=0, "No children", "At least one child")</f>
        <v/>
      </c>
      <c r="J188" s="5">
        <f>IF(F188&lt;40000, "Less than 40K", IF(F188&lt;=70000, "Between 40K and 70K", IF(F188&lt;=100000, "Between 70K and 100K", "Greater than 100K")))</f>
        <v/>
      </c>
      <c r="K188" s="5">
        <f>IF(G188="Strongly disagree", 1, IF(G188="Disagree", 2, IF(G188="Neutral", 3, IF(G188="Agree", 4, IF(G188="Strongly agree", 5, 0)))))</f>
        <v/>
      </c>
    </row>
    <row r="189" ht="28.8" customHeight="1">
      <c r="A189" s="5" t="n">
        <v>188</v>
      </c>
      <c r="B189" s="5" t="inlineStr">
        <is>
          <t>Elderly</t>
        </is>
      </c>
      <c r="C189" s="5" t="n">
        <v>2</v>
      </c>
      <c r="D189" s="5" t="inlineStr">
        <is>
          <t>Michigan</t>
        </is>
      </c>
      <c r="E189" s="5" t="n">
        <v>2</v>
      </c>
      <c r="F189" s="5" t="n">
        <v>78500</v>
      </c>
      <c r="G189" s="5" t="inlineStr">
        <is>
          <t>Strongly disagree</t>
        </is>
      </c>
      <c r="H189" s="5">
        <f>IF(C189=1, "Male", "Female")</f>
        <v/>
      </c>
      <c r="I189" s="5">
        <f>IF(E189=0, "No children", "At least one child")</f>
        <v/>
      </c>
      <c r="J189" s="5">
        <f>IF(F189&lt;40000, "Less than 40K", IF(F189&lt;=70000, "Between 40K and 70K", IF(F189&lt;=100000, "Between 70K and 100K", "Greater than 100K")))</f>
        <v/>
      </c>
      <c r="K189" s="5">
        <f>IF(G189="Strongly disagree", 1, IF(G189="Disagree", 2, IF(G189="Neutral", 3, IF(G189="Agree", 4, IF(G189="Strongly agree", 5, 0)))))</f>
        <v/>
      </c>
    </row>
    <row r="190" ht="28.8" customHeight="1">
      <c r="A190" s="5" t="n">
        <v>189</v>
      </c>
      <c r="B190" s="5" t="inlineStr">
        <is>
          <t>Middle-aged</t>
        </is>
      </c>
      <c r="C190" s="5" t="n">
        <v>2</v>
      </c>
      <c r="D190" s="5" t="inlineStr">
        <is>
          <t>California</t>
        </is>
      </c>
      <c r="E190" s="5" t="n">
        <v>2</v>
      </c>
      <c r="F190" s="5" t="n">
        <v>88561</v>
      </c>
      <c r="G190" s="5" t="inlineStr">
        <is>
          <t>Agree</t>
        </is>
      </c>
      <c r="H190" s="5">
        <f>IF(C190=1, "Male", "Female")</f>
        <v/>
      </c>
      <c r="I190" s="5">
        <f>IF(E190=0, "No children", "At least one child")</f>
        <v/>
      </c>
      <c r="J190" s="5">
        <f>IF(F190&lt;40000, "Less than 40K", IF(F190&lt;=70000, "Between 40K and 70K", IF(F190&lt;=100000, "Between 70K and 100K", "Greater than 100K")))</f>
        <v/>
      </c>
      <c r="K190" s="5">
        <f>IF(G190="Strongly disagree", 1, IF(G190="Disagree", 2, IF(G190="Neutral", 3, IF(G190="Agree", 4, IF(G190="Strongly agree", 5, 0)))))</f>
        <v/>
      </c>
    </row>
    <row r="191" ht="28.8" customHeight="1">
      <c r="A191" s="5" t="n">
        <v>190</v>
      </c>
      <c r="B191" s="5" t="inlineStr">
        <is>
          <t>Middle-aged</t>
        </is>
      </c>
      <c r="C191" s="5" t="n">
        <v>2</v>
      </c>
      <c r="D191" s="5" t="inlineStr">
        <is>
          <t>Ohio</t>
        </is>
      </c>
      <c r="E191" s="5" t="n">
        <v>0</v>
      </c>
      <c r="F191" s="5" t="n">
        <v>121206</v>
      </c>
      <c r="G191" s="5" t="inlineStr">
        <is>
          <t>Neutral</t>
        </is>
      </c>
      <c r="H191" s="5">
        <f>IF(C191=1, "Male", "Female")</f>
        <v/>
      </c>
      <c r="I191" s="5">
        <f>IF(E191=0, "No children", "At least one child")</f>
        <v/>
      </c>
      <c r="J191" s="5">
        <f>IF(F191&lt;40000, "Less than 40K", IF(F191&lt;=70000, "Between 40K and 70K", IF(F191&lt;=100000, "Between 70K and 100K", "Greater than 100K")))</f>
        <v/>
      </c>
      <c r="K191" s="5">
        <f>IF(G191="Strongly disagree", 1, IF(G191="Disagree", 2, IF(G191="Neutral", 3, IF(G191="Agree", 4, IF(G191="Strongly agree", 5, 0)))))</f>
        <v/>
      </c>
    </row>
    <row r="192" ht="28.8" customHeight="1">
      <c r="A192" s="5" t="n">
        <v>191</v>
      </c>
      <c r="B192" s="5" t="inlineStr">
        <is>
          <t>Middle-aged</t>
        </is>
      </c>
      <c r="C192" s="5" t="n">
        <v>1</v>
      </c>
      <c r="D192" s="5" t="inlineStr">
        <is>
          <t>Minnesota</t>
        </is>
      </c>
      <c r="E192" s="5" t="n">
        <v>1</v>
      </c>
      <c r="F192" s="5" t="n">
        <v>109315</v>
      </c>
      <c r="G192" s="5" t="inlineStr">
        <is>
          <t>Disagree</t>
        </is>
      </c>
      <c r="H192" s="5">
        <f>IF(C192=1, "Male", "Female")</f>
        <v/>
      </c>
      <c r="I192" s="5">
        <f>IF(E192=0, "No children", "At least one child")</f>
        <v/>
      </c>
      <c r="J192" s="5">
        <f>IF(F192&lt;40000, "Less than 40K", IF(F192&lt;=70000, "Between 40K and 70K", IF(F192&lt;=100000, "Between 70K and 100K", "Greater than 100K")))</f>
        <v/>
      </c>
      <c r="K192" s="5">
        <f>IF(G192="Strongly disagree", 1, IF(G192="Disagree", 2, IF(G192="Neutral", 3, IF(G192="Agree", 4, IF(G192="Strongly agree", 5, 0)))))</f>
        <v/>
      </c>
    </row>
    <row r="193" ht="28.8" customHeight="1">
      <c r="A193" s="5" t="n">
        <v>192</v>
      </c>
      <c r="B193" s="5" t="inlineStr">
        <is>
          <t>Middle-aged</t>
        </is>
      </c>
      <c r="C193" s="5" t="n">
        <v>2</v>
      </c>
      <c r="D193" s="5" t="inlineStr">
        <is>
          <t>Ohio</t>
        </is>
      </c>
      <c r="E193" s="5" t="n">
        <v>1</v>
      </c>
      <c r="F193" s="5" t="n">
        <v>85732</v>
      </c>
      <c r="G193" s="5" t="inlineStr">
        <is>
          <t>Strongly agree</t>
        </is>
      </c>
      <c r="H193" s="5">
        <f>IF(C193=1, "Male", "Female")</f>
        <v/>
      </c>
      <c r="I193" s="5">
        <f>IF(E193=0, "No children", "At least one child")</f>
        <v/>
      </c>
      <c r="J193" s="5">
        <f>IF(F193&lt;40000, "Less than 40K", IF(F193&lt;=70000, "Between 40K and 70K", IF(F193&lt;=100000, "Between 70K and 100K", "Greater than 100K")))</f>
        <v/>
      </c>
      <c r="K193" s="5">
        <f>IF(G193="Strongly disagree", 1, IF(G193="Disagree", 2, IF(G193="Neutral", 3, IF(G193="Agree", 4, IF(G193="Strongly agree", 5, 0)))))</f>
        <v/>
      </c>
    </row>
    <row r="194" ht="28.8" customHeight="1">
      <c r="A194" s="5" t="n">
        <v>193</v>
      </c>
      <c r="B194" s="5" t="inlineStr">
        <is>
          <t>Young</t>
        </is>
      </c>
      <c r="C194" s="5" t="n">
        <v>1</v>
      </c>
      <c r="D194" s="5" t="inlineStr">
        <is>
          <t>Minnesota</t>
        </is>
      </c>
      <c r="E194" s="5" t="n">
        <v>2</v>
      </c>
      <c r="F194" s="5" t="n">
        <v>41774</v>
      </c>
      <c r="G194" s="5" t="inlineStr">
        <is>
          <t>Neutral</t>
        </is>
      </c>
      <c r="H194" s="5">
        <f>IF(C194=1, "Male", "Female")</f>
        <v/>
      </c>
      <c r="I194" s="5">
        <f>IF(E194=0, "No children", "At least one child")</f>
        <v/>
      </c>
      <c r="J194" s="5">
        <f>IF(F194&lt;40000, "Less than 40K", IF(F194&lt;=70000, "Between 40K and 70K", IF(F194&lt;=100000, "Between 70K and 100K", "Greater than 100K")))</f>
        <v/>
      </c>
      <c r="K194" s="5">
        <f>IF(G194="Strongly disagree", 1, IF(G194="Disagree", 2, IF(G194="Neutral", 3, IF(G194="Agree", 4, IF(G194="Strongly agree", 5, 0)))))</f>
        <v/>
      </c>
    </row>
    <row r="195" ht="28.8" customHeight="1">
      <c r="A195" s="5" t="n">
        <v>194</v>
      </c>
      <c r="B195" s="5" t="inlineStr">
        <is>
          <t>Middle-aged</t>
        </is>
      </c>
      <c r="C195" s="5" t="n">
        <v>1</v>
      </c>
      <c r="D195" s="5" t="inlineStr">
        <is>
          <t>Illinois</t>
        </is>
      </c>
      <c r="E195" s="5" t="n">
        <v>3</v>
      </c>
      <c r="F195" s="5" t="n">
        <v>80193</v>
      </c>
      <c r="G195" s="5" t="inlineStr">
        <is>
          <t>Strongly agree</t>
        </is>
      </c>
      <c r="H195" s="5">
        <f>IF(C195=1, "Male", "Female")</f>
        <v/>
      </c>
      <c r="I195" s="5">
        <f>IF(E195=0, "No children", "At least one child")</f>
        <v/>
      </c>
      <c r="J195" s="5">
        <f>IF(F195&lt;40000, "Less than 40K", IF(F195&lt;=70000, "Between 40K and 70K", IF(F195&lt;=100000, "Between 70K and 100K", "Greater than 100K")))</f>
        <v/>
      </c>
      <c r="K195" s="5">
        <f>IF(G195="Strongly disagree", 1, IF(G195="Disagree", 2, IF(G195="Neutral", 3, IF(G195="Agree", 4, IF(G195="Strongly agree", 5, 0)))))</f>
        <v/>
      </c>
    </row>
    <row r="196" ht="28.8" customHeight="1">
      <c r="A196" s="5" t="n">
        <v>195</v>
      </c>
      <c r="B196" s="5" t="inlineStr">
        <is>
          <t>Elderly</t>
        </is>
      </c>
      <c r="C196" s="5" t="n">
        <v>1</v>
      </c>
      <c r="D196" s="5" t="inlineStr">
        <is>
          <t>Michigan</t>
        </is>
      </c>
      <c r="E196" s="5" t="n">
        <v>0</v>
      </c>
      <c r="F196" s="5" t="n">
        <v>76193</v>
      </c>
      <c r="G196" s="5" t="inlineStr">
        <is>
          <t>Agree</t>
        </is>
      </c>
      <c r="H196" s="5">
        <f>IF(C196=1, "Male", "Female")</f>
        <v/>
      </c>
      <c r="I196" s="5">
        <f>IF(E196=0, "No children", "At least one child")</f>
        <v/>
      </c>
      <c r="J196" s="5">
        <f>IF(F196&lt;40000, "Less than 40K", IF(F196&lt;=70000, "Between 40K and 70K", IF(F196&lt;=100000, "Between 70K and 100K", "Greater than 100K")))</f>
        <v/>
      </c>
      <c r="K196" s="5">
        <f>IF(G196="Strongly disagree", 1, IF(G196="Disagree", 2, IF(G196="Neutral", 3, IF(G196="Agree", 4, IF(G196="Strongly agree", 5, 0)))))</f>
        <v/>
      </c>
    </row>
    <row r="197" ht="28.8" customHeight="1">
      <c r="A197" s="5" t="n">
        <v>196</v>
      </c>
      <c r="B197" s="5" t="inlineStr">
        <is>
          <t>Young</t>
        </is>
      </c>
      <c r="C197" s="5" t="n">
        <v>1</v>
      </c>
      <c r="D197" s="5" t="inlineStr">
        <is>
          <t>California</t>
        </is>
      </c>
      <c r="E197" s="5" t="n">
        <v>1</v>
      </c>
      <c r="F197" s="5" t="n">
        <v>57429</v>
      </c>
      <c r="G197" s="5" t="inlineStr">
        <is>
          <t>Strongly disagree</t>
        </is>
      </c>
      <c r="H197" s="5">
        <f>IF(C197=1, "Male", "Female")</f>
        <v/>
      </c>
      <c r="I197" s="5">
        <f>IF(E197=0, "No children", "At least one child")</f>
        <v/>
      </c>
      <c r="J197" s="5">
        <f>IF(F197&lt;40000, "Less than 40K", IF(F197&lt;=70000, "Between 40K and 70K", IF(F197&lt;=100000, "Between 70K and 100K", "Greater than 100K")))</f>
        <v/>
      </c>
      <c r="K197" s="5">
        <f>IF(G197="Strongly disagree", 1, IF(G197="Disagree", 2, IF(G197="Neutral", 3, IF(G197="Agree", 4, IF(G197="Strongly agree", 5, 0)))))</f>
        <v/>
      </c>
    </row>
    <row r="198">
      <c r="A198" s="5" t="n">
        <v>197</v>
      </c>
      <c r="B198" s="5" t="inlineStr">
        <is>
          <t>Young</t>
        </is>
      </c>
      <c r="C198" s="5" t="n">
        <v>1</v>
      </c>
      <c r="D198" s="5" t="inlineStr">
        <is>
          <t>Arizona</t>
        </is>
      </c>
      <c r="E198" s="5" t="n">
        <v>0</v>
      </c>
      <c r="F198" s="5" t="n">
        <v>37929</v>
      </c>
      <c r="G198" s="5" t="inlineStr">
        <is>
          <t>Strongly agree</t>
        </is>
      </c>
      <c r="H198" s="5">
        <f>IF(C198=1, "Male", "Female")</f>
        <v/>
      </c>
      <c r="I198" s="5">
        <f>IF(E198=0, "No children", "At least one child")</f>
        <v/>
      </c>
      <c r="J198" s="5">
        <f>IF(F198&lt;40000, "Less than 40K", IF(F198&lt;=70000, "Between 40K and 70K", IF(F198&lt;=100000, "Between 70K and 100K", "Greater than 100K")))</f>
        <v/>
      </c>
      <c r="K198" s="5">
        <f>IF(G198="Strongly disagree", 1, IF(G198="Disagree", 2, IF(G198="Neutral", 3, IF(G198="Agree", 4, IF(G198="Strongly agree", 5, 0)))))</f>
        <v/>
      </c>
    </row>
    <row r="199" ht="28.8" customHeight="1">
      <c r="A199" s="5" t="n">
        <v>198</v>
      </c>
      <c r="B199" s="5" t="inlineStr">
        <is>
          <t>Middle-aged</t>
        </is>
      </c>
      <c r="C199" s="5" t="n">
        <v>2</v>
      </c>
      <c r="D199" s="5" t="inlineStr">
        <is>
          <t>Texas</t>
        </is>
      </c>
      <c r="E199" s="5" t="n">
        <v>2</v>
      </c>
      <c r="F199" s="5" t="n">
        <v>65563</v>
      </c>
      <c r="G199" s="5" t="inlineStr">
        <is>
          <t>Neutral</t>
        </is>
      </c>
      <c r="H199" s="5">
        <f>IF(C199=1, "Male", "Female")</f>
        <v/>
      </c>
      <c r="I199" s="5">
        <f>IF(E199=0, "No children", "At least one child")</f>
        <v/>
      </c>
      <c r="J199" s="5">
        <f>IF(F199&lt;40000, "Less than 40K", IF(F199&lt;=70000, "Between 40K and 70K", IF(F199&lt;=100000, "Between 70K and 100K", "Greater than 100K")))</f>
        <v/>
      </c>
      <c r="K199" s="5">
        <f>IF(G199="Strongly disagree", 1, IF(G199="Disagree", 2, IF(G199="Neutral", 3, IF(G199="Agree", 4, IF(G199="Strongly agree", 5, 0)))))</f>
        <v/>
      </c>
    </row>
    <row r="200" ht="28.8" customHeight="1">
      <c r="A200" s="5" t="n">
        <v>199</v>
      </c>
      <c r="B200" s="5" t="inlineStr">
        <is>
          <t>Middle-aged</t>
        </is>
      </c>
      <c r="C200" s="5" t="n">
        <v>2</v>
      </c>
      <c r="D200" s="5" t="inlineStr">
        <is>
          <t>Ohio</t>
        </is>
      </c>
      <c r="E200" s="5" t="n">
        <v>3</v>
      </c>
      <c r="F200" s="5" t="n">
        <v>129493</v>
      </c>
      <c r="G200" s="5" t="inlineStr">
        <is>
          <t>Neutral</t>
        </is>
      </c>
      <c r="H200" s="5">
        <f>IF(C200=1, "Male", "Female")</f>
        <v/>
      </c>
      <c r="I200" s="5">
        <f>IF(E200=0, "No children", "At least one child")</f>
        <v/>
      </c>
      <c r="J200" s="5">
        <f>IF(F200&lt;40000, "Less than 40K", IF(F200&lt;=70000, "Between 40K and 70K", IF(F200&lt;=100000, "Between 70K and 100K", "Greater than 100K")))</f>
        <v/>
      </c>
      <c r="K200" s="5">
        <f>IF(G200="Strongly disagree", 1, IF(G200="Disagree", 2, IF(G200="Neutral", 3, IF(G200="Agree", 4, IF(G200="Strongly agree", 5, 0)))))</f>
        <v/>
      </c>
    </row>
    <row r="201" ht="28.8" customHeight="1">
      <c r="A201" s="5" t="n">
        <v>200</v>
      </c>
      <c r="B201" s="5" t="inlineStr">
        <is>
          <t>Middle-aged</t>
        </is>
      </c>
      <c r="C201" s="5" t="n">
        <v>1</v>
      </c>
      <c r="D201" s="5" t="inlineStr">
        <is>
          <t>Ohio</t>
        </is>
      </c>
      <c r="E201" s="5" t="n">
        <v>0</v>
      </c>
      <c r="F201" s="5" t="n">
        <v>107931</v>
      </c>
      <c r="G201" s="5" t="inlineStr">
        <is>
          <t>Neutral</t>
        </is>
      </c>
      <c r="H201" s="5">
        <f>IF(C201=1, "Male", "Female")</f>
        <v/>
      </c>
      <c r="I201" s="5">
        <f>IF(E201=0, "No children", "At least one child")</f>
        <v/>
      </c>
      <c r="J201" s="5">
        <f>IF(F201&lt;40000, "Less than 40K", IF(F201&lt;=70000, "Between 40K and 70K", IF(F201&lt;=100000, "Between 70K and 100K", "Greater than 100K")))</f>
        <v/>
      </c>
      <c r="K201" s="5">
        <f>IF(G201="Strongly disagree", 1, IF(G201="Disagree", 2, IF(G201="Neutral", 3, IF(G201="Agree", 4, IF(G201="Strongly agree", 5, 0)))))</f>
        <v/>
      </c>
    </row>
    <row r="202" ht="28.8" customHeight="1">
      <c r="A202" s="5" t="n">
        <v>201</v>
      </c>
      <c r="B202" s="5" t="inlineStr">
        <is>
          <t>Elderly</t>
        </is>
      </c>
      <c r="C202" s="5" t="n">
        <v>2</v>
      </c>
      <c r="D202" s="5" t="inlineStr">
        <is>
          <t>Florida</t>
        </is>
      </c>
      <c r="E202" s="5" t="n">
        <v>2</v>
      </c>
      <c r="F202" s="5" t="n">
        <v>69700</v>
      </c>
      <c r="G202" s="5" t="inlineStr">
        <is>
          <t>Strongly disagree</t>
        </is>
      </c>
      <c r="H202" s="5">
        <f>IF(C202=1, "Male", "Female")</f>
        <v/>
      </c>
      <c r="I202" s="5">
        <f>IF(E202=0, "No children", "At least one child")</f>
        <v/>
      </c>
      <c r="J202" s="5">
        <f>IF(F202&lt;40000, "Less than 40K", IF(F202&lt;=70000, "Between 40K and 70K", IF(F202&lt;=100000, "Between 70K and 100K", "Greater than 100K")))</f>
        <v/>
      </c>
      <c r="K202" s="5">
        <f>IF(G202="Strongly disagree", 1, IF(G202="Disagree", 2, IF(G202="Neutral", 3, IF(G202="Agree", 4, IF(G202="Strongly agree", 5, 0)))))</f>
        <v/>
      </c>
    </row>
    <row r="203" ht="28.8" customHeight="1">
      <c r="A203" s="5" t="n">
        <v>202</v>
      </c>
      <c r="B203" s="5" t="inlineStr">
        <is>
          <t>Elderly</t>
        </is>
      </c>
      <c r="C203" s="5" t="n">
        <v>1</v>
      </c>
      <c r="D203" s="5" t="inlineStr">
        <is>
          <t>New York</t>
        </is>
      </c>
      <c r="E203" s="5" t="n">
        <v>2</v>
      </c>
      <c r="F203" s="5" t="n">
        <v>57713</v>
      </c>
      <c r="G203" s="5" t="inlineStr">
        <is>
          <t>Strongly agree</t>
        </is>
      </c>
      <c r="H203" s="5">
        <f>IF(C203=1, "Male", "Female")</f>
        <v/>
      </c>
      <c r="I203" s="5">
        <f>IF(E203=0, "No children", "At least one child")</f>
        <v/>
      </c>
      <c r="J203" s="5">
        <f>IF(F203&lt;40000, "Less than 40K", IF(F203&lt;=70000, "Between 40K and 70K", IF(F203&lt;=100000, "Between 70K and 100K", "Greater than 100K")))</f>
        <v/>
      </c>
      <c r="K203" s="5">
        <f>IF(G203="Strongly disagree", 1, IF(G203="Disagree", 2, IF(G203="Neutral", 3, IF(G203="Agree", 4, IF(G203="Strongly agree", 5, 0)))))</f>
        <v/>
      </c>
    </row>
    <row r="204" ht="28.8" customHeight="1">
      <c r="A204" s="5" t="n">
        <v>203</v>
      </c>
      <c r="B204" s="5" t="inlineStr">
        <is>
          <t>Elderly</t>
        </is>
      </c>
      <c r="C204" s="5" t="n">
        <v>2</v>
      </c>
      <c r="D204" s="5" t="inlineStr">
        <is>
          <t>Virginia</t>
        </is>
      </c>
      <c r="E204" s="5" t="n">
        <v>2</v>
      </c>
      <c r="F204" s="5" t="n">
        <v>62043</v>
      </c>
      <c r="G204" s="5" t="inlineStr">
        <is>
          <t>Strongly disagree</t>
        </is>
      </c>
      <c r="H204" s="5">
        <f>IF(C204=1, "Male", "Female")</f>
        <v/>
      </c>
      <c r="I204" s="5">
        <f>IF(E204=0, "No children", "At least one child")</f>
        <v/>
      </c>
      <c r="J204" s="5">
        <f>IF(F204&lt;40000, "Less than 40K", IF(F204&lt;=70000, "Between 40K and 70K", IF(F204&lt;=100000, "Between 70K and 100K", "Greater than 100K")))</f>
        <v/>
      </c>
      <c r="K204" s="5">
        <f>IF(G204="Strongly disagree", 1, IF(G204="Disagree", 2, IF(G204="Neutral", 3, IF(G204="Agree", 4, IF(G204="Strongly agree", 5, 0)))))</f>
        <v/>
      </c>
    </row>
    <row r="205" ht="28.8" customHeight="1">
      <c r="A205" s="5" t="n">
        <v>204</v>
      </c>
      <c r="B205" s="5" t="inlineStr">
        <is>
          <t>Middle-aged</t>
        </is>
      </c>
      <c r="C205" s="5" t="n">
        <v>1</v>
      </c>
      <c r="D205" s="5" t="inlineStr">
        <is>
          <t>Minnesota</t>
        </is>
      </c>
      <c r="E205" s="5" t="n">
        <v>1</v>
      </c>
      <c r="F205" s="5" t="n">
        <v>86840</v>
      </c>
      <c r="G205" s="5" t="inlineStr">
        <is>
          <t>Disagree</t>
        </is>
      </c>
      <c r="H205" s="5">
        <f>IF(C205=1, "Male", "Female")</f>
        <v/>
      </c>
      <c r="I205" s="5">
        <f>IF(E205=0, "No children", "At least one child")</f>
        <v/>
      </c>
      <c r="J205" s="5">
        <f>IF(F205&lt;40000, "Less than 40K", IF(F205&lt;=70000, "Between 40K and 70K", IF(F205&lt;=100000, "Between 70K and 100K", "Greater than 100K")))</f>
        <v/>
      </c>
      <c r="K205" s="5">
        <f>IF(G205="Strongly disagree", 1, IF(G205="Disagree", 2, IF(G205="Neutral", 3, IF(G205="Agree", 4, IF(G205="Strongly agree", 5, 0)))))</f>
        <v/>
      </c>
    </row>
    <row r="206" ht="28.8" customHeight="1">
      <c r="A206" s="5" t="n">
        <v>205</v>
      </c>
      <c r="B206" s="5" t="inlineStr">
        <is>
          <t>Elderly</t>
        </is>
      </c>
      <c r="C206" s="5" t="n">
        <v>2</v>
      </c>
      <c r="D206" s="5" t="inlineStr">
        <is>
          <t>Texas</t>
        </is>
      </c>
      <c r="E206" s="5" t="n">
        <v>2</v>
      </c>
      <c r="F206" s="5" t="n">
        <v>84185</v>
      </c>
      <c r="G206" s="5" t="inlineStr">
        <is>
          <t>Agree</t>
        </is>
      </c>
      <c r="H206" s="5">
        <f>IF(C206=1, "Male", "Female")</f>
        <v/>
      </c>
      <c r="I206" s="5">
        <f>IF(E206=0, "No children", "At least one child")</f>
        <v/>
      </c>
      <c r="J206" s="5">
        <f>IF(F206&lt;40000, "Less than 40K", IF(F206&lt;=70000, "Between 40K and 70K", IF(F206&lt;=100000, "Between 70K and 100K", "Greater than 100K")))</f>
        <v/>
      </c>
      <c r="K206" s="5">
        <f>IF(G206="Strongly disagree", 1, IF(G206="Disagree", 2, IF(G206="Neutral", 3, IF(G206="Agree", 4, IF(G206="Strongly agree", 5, 0)))))</f>
        <v/>
      </c>
    </row>
    <row r="207" ht="28.8" customHeight="1">
      <c r="A207" s="5" t="n">
        <v>206</v>
      </c>
      <c r="B207" s="5" t="inlineStr">
        <is>
          <t>Elderly</t>
        </is>
      </c>
      <c r="C207" s="5" t="n">
        <v>1</v>
      </c>
      <c r="D207" s="5" t="inlineStr">
        <is>
          <t>Illinois</t>
        </is>
      </c>
      <c r="E207" s="5" t="n">
        <v>0</v>
      </c>
      <c r="F207" s="5" t="n">
        <v>81163</v>
      </c>
      <c r="G207" s="5" t="inlineStr">
        <is>
          <t>Disagree</t>
        </is>
      </c>
      <c r="H207" s="5">
        <f>IF(C207=1, "Male", "Female")</f>
        <v/>
      </c>
      <c r="I207" s="5">
        <f>IF(E207=0, "No children", "At least one child")</f>
        <v/>
      </c>
      <c r="J207" s="5">
        <f>IF(F207&lt;40000, "Less than 40K", IF(F207&lt;=70000, "Between 40K and 70K", IF(F207&lt;=100000, "Between 70K and 100K", "Greater than 100K")))</f>
        <v/>
      </c>
      <c r="K207" s="5">
        <f>IF(G207="Strongly disagree", 1, IF(G207="Disagree", 2, IF(G207="Neutral", 3, IF(G207="Agree", 4, IF(G207="Strongly agree", 5, 0)))))</f>
        <v/>
      </c>
    </row>
    <row r="208" ht="28.8" customHeight="1">
      <c r="A208" s="5" t="n">
        <v>207</v>
      </c>
      <c r="B208" s="5" t="inlineStr">
        <is>
          <t>Young</t>
        </is>
      </c>
      <c r="C208" s="5" t="n">
        <v>1</v>
      </c>
      <c r="D208" s="5" t="inlineStr">
        <is>
          <t>Florida</t>
        </is>
      </c>
      <c r="E208" s="5" t="n">
        <v>3</v>
      </c>
      <c r="F208" s="5" t="n">
        <v>47017</v>
      </c>
      <c r="G208" s="5" t="inlineStr">
        <is>
          <t>Agree</t>
        </is>
      </c>
      <c r="H208" s="5">
        <f>IF(C208=1, "Male", "Female")</f>
        <v/>
      </c>
      <c r="I208" s="5">
        <f>IF(E208=0, "No children", "At least one child")</f>
        <v/>
      </c>
      <c r="J208" s="5">
        <f>IF(F208&lt;40000, "Less than 40K", IF(F208&lt;=70000, "Between 40K and 70K", IF(F208&lt;=100000, "Between 70K and 100K", "Greater than 100K")))</f>
        <v/>
      </c>
      <c r="K208" s="5">
        <f>IF(G208="Strongly disagree", 1, IF(G208="Disagree", 2, IF(G208="Neutral", 3, IF(G208="Agree", 4, IF(G208="Strongly agree", 5, 0)))))</f>
        <v/>
      </c>
    </row>
    <row r="209" ht="28.8" customHeight="1">
      <c r="A209" s="5" t="n">
        <v>208</v>
      </c>
      <c r="B209" s="5" t="inlineStr">
        <is>
          <t>Middle-aged</t>
        </is>
      </c>
      <c r="C209" s="5" t="n">
        <v>1</v>
      </c>
      <c r="D209" s="5" t="inlineStr">
        <is>
          <t>California</t>
        </is>
      </c>
      <c r="E209" s="5" t="n">
        <v>2</v>
      </c>
      <c r="F209" s="5" t="n">
        <v>107069</v>
      </c>
      <c r="G209" s="5" t="inlineStr">
        <is>
          <t>Disagree</t>
        </is>
      </c>
      <c r="H209" s="5">
        <f>IF(C209=1, "Male", "Female")</f>
        <v/>
      </c>
      <c r="I209" s="5">
        <f>IF(E209=0, "No children", "At least one child")</f>
        <v/>
      </c>
      <c r="J209" s="5">
        <f>IF(F209&lt;40000, "Less than 40K", IF(F209&lt;=70000, "Between 40K and 70K", IF(F209&lt;=100000, "Between 70K and 100K", "Greater than 100K")))</f>
        <v/>
      </c>
      <c r="K209" s="5">
        <f>IF(G209="Strongly disagree", 1, IF(G209="Disagree", 2, IF(G209="Neutral", 3, IF(G209="Agree", 4, IF(G209="Strongly agree", 5, 0)))))</f>
        <v/>
      </c>
    </row>
    <row r="210" ht="28.8" customHeight="1">
      <c r="A210" s="5" t="n">
        <v>209</v>
      </c>
      <c r="B210" s="5" t="inlineStr">
        <is>
          <t>Middle-aged</t>
        </is>
      </c>
      <c r="C210" s="5" t="n">
        <v>1</v>
      </c>
      <c r="D210" s="5" t="inlineStr">
        <is>
          <t>Illinois</t>
        </is>
      </c>
      <c r="E210" s="5" t="n">
        <v>0</v>
      </c>
      <c r="F210" s="5" t="n">
        <v>73224</v>
      </c>
      <c r="G210" s="5" t="inlineStr">
        <is>
          <t>Neutral</t>
        </is>
      </c>
      <c r="H210" s="5">
        <f>IF(C210=1, "Male", "Female")</f>
        <v/>
      </c>
      <c r="I210" s="5">
        <f>IF(E210=0, "No children", "At least one child")</f>
        <v/>
      </c>
      <c r="J210" s="5">
        <f>IF(F210&lt;40000, "Less than 40K", IF(F210&lt;=70000, "Between 40K and 70K", IF(F210&lt;=100000, "Between 70K and 100K", "Greater than 100K")))</f>
        <v/>
      </c>
      <c r="K210" s="5">
        <f>IF(G210="Strongly disagree", 1, IF(G210="Disagree", 2, IF(G210="Neutral", 3, IF(G210="Agree", 4, IF(G210="Strongly agree", 5, 0)))))</f>
        <v/>
      </c>
    </row>
    <row r="211" ht="28.8" customHeight="1">
      <c r="A211" s="5" t="n">
        <v>210</v>
      </c>
      <c r="B211" s="5" t="inlineStr">
        <is>
          <t>Middle-aged</t>
        </is>
      </c>
      <c r="C211" s="5" t="n">
        <v>1</v>
      </c>
      <c r="D211" s="5" t="inlineStr">
        <is>
          <t>Virginia</t>
        </is>
      </c>
      <c r="E211" s="5" t="n">
        <v>2</v>
      </c>
      <c r="F211" s="5" t="n">
        <v>79244</v>
      </c>
      <c r="G211" s="5" t="inlineStr">
        <is>
          <t>Neutral</t>
        </is>
      </c>
      <c r="H211" s="5">
        <f>IF(C211=1, "Male", "Female")</f>
        <v/>
      </c>
      <c r="I211" s="5">
        <f>IF(E211=0, "No children", "At least one child")</f>
        <v/>
      </c>
      <c r="J211" s="5">
        <f>IF(F211&lt;40000, "Less than 40K", IF(F211&lt;=70000, "Between 40K and 70K", IF(F211&lt;=100000, "Between 70K and 100K", "Greater than 100K")))</f>
        <v/>
      </c>
      <c r="K211" s="5">
        <f>IF(G211="Strongly disagree", 1, IF(G211="Disagree", 2, IF(G211="Neutral", 3, IF(G211="Agree", 4, IF(G211="Strongly agree", 5, 0)))))</f>
        <v/>
      </c>
    </row>
    <row r="212" ht="28.8" customHeight="1">
      <c r="A212" s="5" t="n">
        <v>211</v>
      </c>
      <c r="B212" s="5" t="inlineStr">
        <is>
          <t>Elderly</t>
        </is>
      </c>
      <c r="C212" s="5" t="n">
        <v>2</v>
      </c>
      <c r="D212" s="5" t="inlineStr">
        <is>
          <t>Minnesota</t>
        </is>
      </c>
      <c r="E212" s="5" t="n">
        <v>1</v>
      </c>
      <c r="F212" s="5" t="n">
        <v>72263</v>
      </c>
      <c r="G212" s="5" t="inlineStr">
        <is>
          <t>Agree</t>
        </is>
      </c>
      <c r="H212" s="5">
        <f>IF(C212=1, "Male", "Female")</f>
        <v/>
      </c>
      <c r="I212" s="5">
        <f>IF(E212=0, "No children", "At least one child")</f>
        <v/>
      </c>
      <c r="J212" s="5">
        <f>IF(F212&lt;40000, "Less than 40K", IF(F212&lt;=70000, "Between 40K and 70K", IF(F212&lt;=100000, "Between 70K and 100K", "Greater than 100K")))</f>
        <v/>
      </c>
      <c r="K212" s="5">
        <f>IF(G212="Strongly disagree", 1, IF(G212="Disagree", 2, IF(G212="Neutral", 3, IF(G212="Agree", 4, IF(G212="Strongly agree", 5, 0)))))</f>
        <v/>
      </c>
    </row>
    <row r="213" ht="28.8" customHeight="1">
      <c r="A213" s="5" t="n">
        <v>212</v>
      </c>
      <c r="B213" s="5" t="inlineStr">
        <is>
          <t>Middle-aged</t>
        </is>
      </c>
      <c r="C213" s="5" t="n">
        <v>1</v>
      </c>
      <c r="D213" s="5" t="inlineStr">
        <is>
          <t>Florida</t>
        </is>
      </c>
      <c r="E213" s="5" t="n">
        <v>2</v>
      </c>
      <c r="F213" s="5" t="n">
        <v>95760</v>
      </c>
      <c r="G213" s="5" t="inlineStr">
        <is>
          <t>Strongly agree</t>
        </is>
      </c>
      <c r="H213" s="5">
        <f>IF(C213=1, "Male", "Female")</f>
        <v/>
      </c>
      <c r="I213" s="5">
        <f>IF(E213=0, "No children", "At least one child")</f>
        <v/>
      </c>
      <c r="J213" s="5">
        <f>IF(F213&lt;40000, "Less than 40K", IF(F213&lt;=70000, "Between 40K and 70K", IF(F213&lt;=100000, "Between 70K and 100K", "Greater than 100K")))</f>
        <v/>
      </c>
      <c r="K213" s="5">
        <f>IF(G213="Strongly disagree", 1, IF(G213="Disagree", 2, IF(G213="Neutral", 3, IF(G213="Agree", 4, IF(G213="Strongly agree", 5, 0)))))</f>
        <v/>
      </c>
    </row>
    <row r="214" ht="28.8" customHeight="1">
      <c r="A214" s="5" t="n">
        <v>213</v>
      </c>
      <c r="B214" s="5" t="inlineStr">
        <is>
          <t>Middle-aged</t>
        </is>
      </c>
      <c r="C214" s="5" t="n">
        <v>2</v>
      </c>
      <c r="D214" s="5" t="inlineStr">
        <is>
          <t>New York</t>
        </is>
      </c>
      <c r="E214" s="5" t="n">
        <v>0</v>
      </c>
      <c r="F214" s="5" t="n">
        <v>101962</v>
      </c>
      <c r="G214" s="5" t="inlineStr">
        <is>
          <t>Disagree</t>
        </is>
      </c>
      <c r="H214" s="5">
        <f>IF(C214=1, "Male", "Female")</f>
        <v/>
      </c>
      <c r="I214" s="5">
        <f>IF(E214=0, "No children", "At least one child")</f>
        <v/>
      </c>
      <c r="J214" s="5">
        <f>IF(F214&lt;40000, "Less than 40K", IF(F214&lt;=70000, "Between 40K and 70K", IF(F214&lt;=100000, "Between 70K and 100K", "Greater than 100K")))</f>
        <v/>
      </c>
      <c r="K214" s="5">
        <f>IF(G214="Strongly disagree", 1, IF(G214="Disagree", 2, IF(G214="Neutral", 3, IF(G214="Agree", 4, IF(G214="Strongly agree", 5, 0)))))</f>
        <v/>
      </c>
    </row>
    <row r="215" ht="28.8" customHeight="1">
      <c r="A215" s="5" t="n">
        <v>214</v>
      </c>
      <c r="B215" s="5" t="inlineStr">
        <is>
          <t>Elderly</t>
        </is>
      </c>
      <c r="C215" s="5" t="n">
        <v>2</v>
      </c>
      <c r="D215" s="5" t="inlineStr">
        <is>
          <t>Texas</t>
        </is>
      </c>
      <c r="E215" s="5" t="n">
        <v>1</v>
      </c>
      <c r="F215" s="5" t="n">
        <v>79204</v>
      </c>
      <c r="G215" s="5" t="inlineStr">
        <is>
          <t>Neutral</t>
        </is>
      </c>
      <c r="H215" s="5">
        <f>IF(C215=1, "Male", "Female")</f>
        <v/>
      </c>
      <c r="I215" s="5">
        <f>IF(E215=0, "No children", "At least one child")</f>
        <v/>
      </c>
      <c r="J215" s="5">
        <f>IF(F215&lt;40000, "Less than 40K", IF(F215&lt;=70000, "Between 40K and 70K", IF(F215&lt;=100000, "Between 70K and 100K", "Greater than 100K")))</f>
        <v/>
      </c>
      <c r="K215" s="5">
        <f>IF(G215="Strongly disagree", 1, IF(G215="Disagree", 2, IF(G215="Neutral", 3, IF(G215="Agree", 4, IF(G215="Strongly agree", 5, 0)))))</f>
        <v/>
      </c>
    </row>
    <row r="216" ht="28.8" customHeight="1">
      <c r="A216" s="5" t="n">
        <v>215</v>
      </c>
      <c r="B216" s="5" t="inlineStr">
        <is>
          <t>Middle-aged</t>
        </is>
      </c>
      <c r="C216" s="5" t="n">
        <v>2</v>
      </c>
      <c r="D216" s="5" t="inlineStr">
        <is>
          <t>Michigan</t>
        </is>
      </c>
      <c r="E216" s="5" t="n">
        <v>2</v>
      </c>
      <c r="F216" s="5" t="n">
        <v>84005</v>
      </c>
      <c r="G216" s="5" t="inlineStr">
        <is>
          <t>Neutral</t>
        </is>
      </c>
      <c r="H216" s="5">
        <f>IF(C216=1, "Male", "Female")</f>
        <v/>
      </c>
      <c r="I216" s="5">
        <f>IF(E216=0, "No children", "At least one child")</f>
        <v/>
      </c>
      <c r="J216" s="5">
        <f>IF(F216&lt;40000, "Less than 40K", IF(F216&lt;=70000, "Between 40K and 70K", IF(F216&lt;=100000, "Between 70K and 100K", "Greater than 100K")))</f>
        <v/>
      </c>
      <c r="K216" s="5">
        <f>IF(G216="Strongly disagree", 1, IF(G216="Disagree", 2, IF(G216="Neutral", 3, IF(G216="Agree", 4, IF(G216="Strongly agree", 5, 0)))))</f>
        <v/>
      </c>
    </row>
    <row r="217" ht="28.8" customHeight="1">
      <c r="A217" s="5" t="n">
        <v>216</v>
      </c>
      <c r="B217" s="5" t="inlineStr">
        <is>
          <t>Young</t>
        </is>
      </c>
      <c r="C217" s="5" t="n">
        <v>1</v>
      </c>
      <c r="D217" s="5" t="inlineStr">
        <is>
          <t>Arizona</t>
        </is>
      </c>
      <c r="E217" s="5" t="n">
        <v>0</v>
      </c>
      <c r="F217" s="5" t="n">
        <v>43045</v>
      </c>
      <c r="G217" s="5" t="inlineStr">
        <is>
          <t>Strongly agree</t>
        </is>
      </c>
      <c r="H217" s="5">
        <f>IF(C217=1, "Male", "Female")</f>
        <v/>
      </c>
      <c r="I217" s="5">
        <f>IF(E217=0, "No children", "At least one child")</f>
        <v/>
      </c>
      <c r="J217" s="5">
        <f>IF(F217&lt;40000, "Less than 40K", IF(F217&lt;=70000, "Between 40K and 70K", IF(F217&lt;=100000, "Between 70K and 100K", "Greater than 100K")))</f>
        <v/>
      </c>
      <c r="K217" s="5">
        <f>IF(G217="Strongly disagree", 1, IF(G217="Disagree", 2, IF(G217="Neutral", 3, IF(G217="Agree", 4, IF(G217="Strongly agree", 5, 0)))))</f>
        <v/>
      </c>
    </row>
    <row r="218" ht="28.8" customHeight="1">
      <c r="A218" s="5" t="n">
        <v>217</v>
      </c>
      <c r="B218" s="5" t="inlineStr">
        <is>
          <t>Elderly</t>
        </is>
      </c>
      <c r="C218" s="5" t="n">
        <v>1</v>
      </c>
      <c r="D218" s="5" t="inlineStr">
        <is>
          <t>Florida</t>
        </is>
      </c>
      <c r="E218" s="5" t="n">
        <v>0</v>
      </c>
      <c r="F218" s="5" t="n">
        <v>65530</v>
      </c>
      <c r="G218" s="5" t="inlineStr">
        <is>
          <t>Strongly agree</t>
        </is>
      </c>
      <c r="H218" s="5">
        <f>IF(C218=1, "Male", "Female")</f>
        <v/>
      </c>
      <c r="I218" s="5">
        <f>IF(E218=0, "No children", "At least one child")</f>
        <v/>
      </c>
      <c r="J218" s="5">
        <f>IF(F218&lt;40000, "Less than 40K", IF(F218&lt;=70000, "Between 40K and 70K", IF(F218&lt;=100000, "Between 70K and 100K", "Greater than 100K")))</f>
        <v/>
      </c>
      <c r="K218" s="5">
        <f>IF(G218="Strongly disagree", 1, IF(G218="Disagree", 2, IF(G218="Neutral", 3, IF(G218="Agree", 4, IF(G218="Strongly agree", 5, 0)))))</f>
        <v/>
      </c>
    </row>
    <row r="219" ht="28.8" customHeight="1">
      <c r="A219" s="5" t="n">
        <v>218</v>
      </c>
      <c r="B219" s="5" t="inlineStr">
        <is>
          <t>Middle-aged</t>
        </is>
      </c>
      <c r="C219" s="5" t="n">
        <v>2</v>
      </c>
      <c r="D219" s="5" t="inlineStr">
        <is>
          <t>Michigan</t>
        </is>
      </c>
      <c r="E219" s="5" t="n">
        <v>2</v>
      </c>
      <c r="F219" s="5" t="n">
        <v>129494</v>
      </c>
      <c r="G219" s="5" t="inlineStr">
        <is>
          <t>Strongly disagree</t>
        </is>
      </c>
      <c r="H219" s="5">
        <f>IF(C219=1, "Male", "Female")</f>
        <v/>
      </c>
      <c r="I219" s="5">
        <f>IF(E219=0, "No children", "At least one child")</f>
        <v/>
      </c>
      <c r="J219" s="5">
        <f>IF(F219&lt;40000, "Less than 40K", IF(F219&lt;=70000, "Between 40K and 70K", IF(F219&lt;=100000, "Between 70K and 100K", "Greater than 100K")))</f>
        <v/>
      </c>
      <c r="K219" s="5">
        <f>IF(G219="Strongly disagree", 1, IF(G219="Disagree", 2, IF(G219="Neutral", 3, IF(G219="Agree", 4, IF(G219="Strongly agree", 5, 0)))))</f>
        <v/>
      </c>
    </row>
    <row r="220" ht="28.8" customHeight="1">
      <c r="A220" s="5" t="n">
        <v>219</v>
      </c>
      <c r="B220" s="5" t="inlineStr">
        <is>
          <t>Middle-aged</t>
        </is>
      </c>
      <c r="C220" s="5" t="n">
        <v>2</v>
      </c>
      <c r="D220" s="5" t="inlineStr">
        <is>
          <t>New York</t>
        </is>
      </c>
      <c r="E220" s="5" t="n">
        <v>0</v>
      </c>
      <c r="F220" s="5" t="n">
        <v>110945</v>
      </c>
      <c r="G220" s="5" t="inlineStr">
        <is>
          <t>Strongly agree</t>
        </is>
      </c>
      <c r="H220" s="5">
        <f>IF(C220=1, "Male", "Female")</f>
        <v/>
      </c>
      <c r="I220" s="5">
        <f>IF(E220=0, "No children", "At least one child")</f>
        <v/>
      </c>
      <c r="J220" s="5">
        <f>IF(F220&lt;40000, "Less than 40K", IF(F220&lt;=70000, "Between 40K and 70K", IF(F220&lt;=100000, "Between 70K and 100K", "Greater than 100K")))</f>
        <v/>
      </c>
      <c r="K220" s="5">
        <f>IF(G220="Strongly disagree", 1, IF(G220="Disagree", 2, IF(G220="Neutral", 3, IF(G220="Agree", 4, IF(G220="Strongly agree", 5, 0)))))</f>
        <v/>
      </c>
    </row>
    <row r="221" ht="28.8" customHeight="1">
      <c r="A221" s="5" t="n">
        <v>220</v>
      </c>
      <c r="B221" s="5" t="inlineStr">
        <is>
          <t>Middle-aged</t>
        </is>
      </c>
      <c r="C221" s="5" t="n">
        <v>2</v>
      </c>
      <c r="D221" s="5" t="inlineStr">
        <is>
          <t>Texas</t>
        </is>
      </c>
      <c r="E221" s="5" t="n">
        <v>2</v>
      </c>
      <c r="F221" s="5" t="n">
        <v>110102</v>
      </c>
      <c r="G221" s="5" t="inlineStr">
        <is>
          <t>Disagree</t>
        </is>
      </c>
      <c r="H221" s="5">
        <f>IF(C221=1, "Male", "Female")</f>
        <v/>
      </c>
      <c r="I221" s="5">
        <f>IF(E221=0, "No children", "At least one child")</f>
        <v/>
      </c>
      <c r="J221" s="5">
        <f>IF(F221&lt;40000, "Less than 40K", IF(F221&lt;=70000, "Between 40K and 70K", IF(F221&lt;=100000, "Between 70K and 100K", "Greater than 100K")))</f>
        <v/>
      </c>
      <c r="K221" s="5">
        <f>IF(G221="Strongly disagree", 1, IF(G221="Disagree", 2, IF(G221="Neutral", 3, IF(G221="Agree", 4, IF(G221="Strongly agree", 5, 0)))))</f>
        <v/>
      </c>
    </row>
    <row r="222" ht="28.8" customHeight="1">
      <c r="A222" s="5" t="n">
        <v>221</v>
      </c>
      <c r="B222" s="5" t="inlineStr">
        <is>
          <t>Middle-aged</t>
        </is>
      </c>
      <c r="C222" s="5" t="n">
        <v>1</v>
      </c>
      <c r="D222" s="5" t="inlineStr">
        <is>
          <t>Illinois</t>
        </is>
      </c>
      <c r="E222" s="5" t="n">
        <v>3</v>
      </c>
      <c r="F222" s="5" t="n">
        <v>94296</v>
      </c>
      <c r="G222" s="5" t="inlineStr">
        <is>
          <t>Disagree</t>
        </is>
      </c>
      <c r="H222" s="5">
        <f>IF(C222=1, "Male", "Female")</f>
        <v/>
      </c>
      <c r="I222" s="5">
        <f>IF(E222=0, "No children", "At least one child")</f>
        <v/>
      </c>
      <c r="J222" s="5">
        <f>IF(F222&lt;40000, "Less than 40K", IF(F222&lt;=70000, "Between 40K and 70K", IF(F222&lt;=100000, "Between 70K and 100K", "Greater than 100K")))</f>
        <v/>
      </c>
      <c r="K222" s="5">
        <f>IF(G222="Strongly disagree", 1, IF(G222="Disagree", 2, IF(G222="Neutral", 3, IF(G222="Agree", 4, IF(G222="Strongly agree", 5, 0)))))</f>
        <v/>
      </c>
    </row>
    <row r="223" ht="28.8" customHeight="1">
      <c r="A223" s="5" t="n">
        <v>222</v>
      </c>
      <c r="B223" s="5" t="inlineStr">
        <is>
          <t>Middle-aged</t>
        </is>
      </c>
      <c r="C223" s="5" t="n">
        <v>2</v>
      </c>
      <c r="D223" s="5" t="inlineStr">
        <is>
          <t>Illinois</t>
        </is>
      </c>
      <c r="E223" s="5" t="n">
        <v>0</v>
      </c>
      <c r="F223" s="5" t="n">
        <v>103500</v>
      </c>
      <c r="G223" s="5" t="inlineStr">
        <is>
          <t>Strongly agree</t>
        </is>
      </c>
      <c r="H223" s="5">
        <f>IF(C223=1, "Male", "Female")</f>
        <v/>
      </c>
      <c r="I223" s="5">
        <f>IF(E223=0, "No children", "At least one child")</f>
        <v/>
      </c>
      <c r="J223" s="5">
        <f>IF(F223&lt;40000, "Less than 40K", IF(F223&lt;=70000, "Between 40K and 70K", IF(F223&lt;=100000, "Between 70K and 100K", "Greater than 100K")))</f>
        <v/>
      </c>
      <c r="K223" s="5">
        <f>IF(G223="Strongly disagree", 1, IF(G223="Disagree", 2, IF(G223="Neutral", 3, IF(G223="Agree", 4, IF(G223="Strongly agree", 5, 0)))))</f>
        <v/>
      </c>
    </row>
    <row r="224" ht="28.8" customHeight="1">
      <c r="A224" s="5" t="n">
        <v>223</v>
      </c>
      <c r="B224" s="5" t="inlineStr">
        <is>
          <t>Young</t>
        </is>
      </c>
      <c r="C224" s="5" t="n">
        <v>2</v>
      </c>
      <c r="D224" s="5" t="inlineStr">
        <is>
          <t>Michigan</t>
        </is>
      </c>
      <c r="E224" s="5" t="n">
        <v>2</v>
      </c>
      <c r="F224" s="5" t="n">
        <v>50386</v>
      </c>
      <c r="G224" s="5" t="inlineStr">
        <is>
          <t>Strongly disagree</t>
        </is>
      </c>
      <c r="H224" s="5">
        <f>IF(C224=1, "Male", "Female")</f>
        <v/>
      </c>
      <c r="I224" s="5">
        <f>IF(E224=0, "No children", "At least one child")</f>
        <v/>
      </c>
      <c r="J224" s="5">
        <f>IF(F224&lt;40000, "Less than 40K", IF(F224&lt;=70000, "Between 40K and 70K", IF(F224&lt;=100000, "Between 70K and 100K", "Greater than 100K")))</f>
        <v/>
      </c>
      <c r="K224" s="5">
        <f>IF(G224="Strongly disagree", 1, IF(G224="Disagree", 2, IF(G224="Neutral", 3, IF(G224="Agree", 4, IF(G224="Strongly agree", 5, 0)))))</f>
        <v/>
      </c>
    </row>
    <row r="225">
      <c r="A225" s="5" t="n">
        <v>224</v>
      </c>
      <c r="B225" s="5" t="inlineStr">
        <is>
          <t>Young</t>
        </is>
      </c>
      <c r="C225" s="5" t="n">
        <v>2</v>
      </c>
      <c r="D225" s="5" t="inlineStr">
        <is>
          <t>Illinois</t>
        </is>
      </c>
      <c r="E225" s="5" t="n">
        <v>2</v>
      </c>
      <c r="F225" s="5" t="n">
        <v>23109</v>
      </c>
      <c r="G225" s="5" t="inlineStr">
        <is>
          <t>Strongly disagree</t>
        </is>
      </c>
      <c r="H225" s="5">
        <f>IF(C225=1, "Male", "Female")</f>
        <v/>
      </c>
      <c r="I225" s="5">
        <f>IF(E225=0, "No children", "At least one child")</f>
        <v/>
      </c>
      <c r="J225" s="5">
        <f>IF(F225&lt;40000, "Less than 40K", IF(F225&lt;=70000, "Between 40K and 70K", IF(F225&lt;=100000, "Between 70K and 100K", "Greater than 100K")))</f>
        <v/>
      </c>
      <c r="K225" s="5">
        <f>IF(G225="Strongly disagree", 1, IF(G225="Disagree", 2, IF(G225="Neutral", 3, IF(G225="Agree", 4, IF(G225="Strongly agree", 5, 0)))))</f>
        <v/>
      </c>
    </row>
    <row r="226" ht="28.8" customHeight="1">
      <c r="A226" s="5" t="n">
        <v>225</v>
      </c>
      <c r="B226" s="5" t="inlineStr">
        <is>
          <t>Elderly</t>
        </is>
      </c>
      <c r="C226" s="5" t="n">
        <v>2</v>
      </c>
      <c r="D226" s="5" t="inlineStr">
        <is>
          <t>Ohio</t>
        </is>
      </c>
      <c r="E226" s="5" t="n">
        <v>2</v>
      </c>
      <c r="F226" s="5" t="n">
        <v>101526</v>
      </c>
      <c r="G226" s="5" t="inlineStr">
        <is>
          <t>Disagree</t>
        </is>
      </c>
      <c r="H226" s="5">
        <f>IF(C226=1, "Male", "Female")</f>
        <v/>
      </c>
      <c r="I226" s="5">
        <f>IF(E226=0, "No children", "At least one child")</f>
        <v/>
      </c>
      <c r="J226" s="5">
        <f>IF(F226&lt;40000, "Less than 40K", IF(F226&lt;=70000, "Between 40K and 70K", IF(F226&lt;=100000, "Between 70K and 100K", "Greater than 100K")))</f>
        <v/>
      </c>
      <c r="K226" s="5">
        <f>IF(G226="Strongly disagree", 1, IF(G226="Disagree", 2, IF(G226="Neutral", 3, IF(G226="Agree", 4, IF(G226="Strongly agree", 5, 0)))))</f>
        <v/>
      </c>
    </row>
    <row r="227" ht="28.8" customHeight="1">
      <c r="A227" s="5" t="n">
        <v>226</v>
      </c>
      <c r="B227" s="5" t="inlineStr">
        <is>
          <t>Elderly</t>
        </is>
      </c>
      <c r="C227" s="5" t="n">
        <v>2</v>
      </c>
      <c r="D227" s="5" t="inlineStr">
        <is>
          <t>Michigan</t>
        </is>
      </c>
      <c r="E227" s="5" t="n">
        <v>2</v>
      </c>
      <c r="F227" s="5" t="n">
        <v>88448</v>
      </c>
      <c r="G227" s="5" t="inlineStr">
        <is>
          <t>Disagree</t>
        </is>
      </c>
      <c r="H227" s="5">
        <f>IF(C227=1, "Male", "Female")</f>
        <v/>
      </c>
      <c r="I227" s="5">
        <f>IF(E227=0, "No children", "At least one child")</f>
        <v/>
      </c>
      <c r="J227" s="5">
        <f>IF(F227&lt;40000, "Less than 40K", IF(F227&lt;=70000, "Between 40K and 70K", IF(F227&lt;=100000, "Between 70K and 100K", "Greater than 100K")))</f>
        <v/>
      </c>
      <c r="K227" s="5">
        <f>IF(G227="Strongly disagree", 1, IF(G227="Disagree", 2, IF(G227="Neutral", 3, IF(G227="Agree", 4, IF(G227="Strongly agree", 5, 0)))))</f>
        <v/>
      </c>
    </row>
    <row r="228" ht="28.8" customHeight="1">
      <c r="A228" s="5" t="n">
        <v>227</v>
      </c>
      <c r="B228" s="5" t="inlineStr">
        <is>
          <t>Middle-aged</t>
        </is>
      </c>
      <c r="C228" s="5" t="n">
        <v>2</v>
      </c>
      <c r="D228" s="5" t="inlineStr">
        <is>
          <t>Texas</t>
        </is>
      </c>
      <c r="E228" s="5" t="n">
        <v>1</v>
      </c>
      <c r="F228" s="5" t="n">
        <v>83191</v>
      </c>
      <c r="G228" s="5" t="inlineStr">
        <is>
          <t>Strongly disagree</t>
        </is>
      </c>
      <c r="H228" s="5">
        <f>IF(C228=1, "Male", "Female")</f>
        <v/>
      </c>
      <c r="I228" s="5">
        <f>IF(E228=0, "No children", "At least one child")</f>
        <v/>
      </c>
      <c r="J228" s="5">
        <f>IF(F228&lt;40000, "Less than 40K", IF(F228&lt;=70000, "Between 40K and 70K", IF(F228&lt;=100000, "Between 70K and 100K", "Greater than 100K")))</f>
        <v/>
      </c>
      <c r="K228" s="5">
        <f>IF(G228="Strongly disagree", 1, IF(G228="Disagree", 2, IF(G228="Neutral", 3, IF(G228="Agree", 4, IF(G228="Strongly agree", 5, 0)))))</f>
        <v/>
      </c>
    </row>
    <row r="229" ht="28.8" customHeight="1">
      <c r="A229" s="5" t="n">
        <v>228</v>
      </c>
      <c r="B229" s="5" t="inlineStr">
        <is>
          <t>Middle-aged</t>
        </is>
      </c>
      <c r="C229" s="5" t="n">
        <v>1</v>
      </c>
      <c r="D229" s="5" t="inlineStr">
        <is>
          <t>Michigan</t>
        </is>
      </c>
      <c r="E229" s="5" t="n">
        <v>2</v>
      </c>
      <c r="F229" s="5" t="n">
        <v>150149</v>
      </c>
      <c r="G229" s="5" t="inlineStr">
        <is>
          <t>Strongly agree</t>
        </is>
      </c>
      <c r="H229" s="5">
        <f>IF(C229=1, "Male", "Female")</f>
        <v/>
      </c>
      <c r="I229" s="5">
        <f>IF(E229=0, "No children", "At least one child")</f>
        <v/>
      </c>
      <c r="J229" s="5">
        <f>IF(F229&lt;40000, "Less than 40K", IF(F229&lt;=70000, "Between 40K and 70K", IF(F229&lt;=100000, "Between 70K and 100K", "Greater than 100K")))</f>
        <v/>
      </c>
      <c r="K229" s="5">
        <f>IF(G229="Strongly disagree", 1, IF(G229="Disagree", 2, IF(G229="Neutral", 3, IF(G229="Agree", 4, IF(G229="Strongly agree", 5, 0)))))</f>
        <v/>
      </c>
    </row>
    <row r="230" ht="28.8" customHeight="1">
      <c r="A230" s="5" t="n">
        <v>229</v>
      </c>
      <c r="B230" s="5" t="inlineStr">
        <is>
          <t>Middle-aged</t>
        </is>
      </c>
      <c r="C230" s="5" t="n">
        <v>1</v>
      </c>
      <c r="D230" s="5" t="inlineStr">
        <is>
          <t>Arizona</t>
        </is>
      </c>
      <c r="E230" s="5" t="n">
        <v>1</v>
      </c>
      <c r="F230" s="5" t="n">
        <v>148014</v>
      </c>
      <c r="G230" s="5" t="inlineStr">
        <is>
          <t>Neutral</t>
        </is>
      </c>
      <c r="H230" s="5">
        <f>IF(C230=1, "Male", "Female")</f>
        <v/>
      </c>
      <c r="I230" s="5">
        <f>IF(E230=0, "No children", "At least one child")</f>
        <v/>
      </c>
      <c r="J230" s="5">
        <f>IF(F230&lt;40000, "Less than 40K", IF(F230&lt;=70000, "Between 40K and 70K", IF(F230&lt;=100000, "Between 70K and 100K", "Greater than 100K")))</f>
        <v/>
      </c>
      <c r="K230" s="5">
        <f>IF(G230="Strongly disagree", 1, IF(G230="Disagree", 2, IF(G230="Neutral", 3, IF(G230="Agree", 4, IF(G230="Strongly agree", 5, 0)))))</f>
        <v/>
      </c>
    </row>
    <row r="231" ht="28.8" customHeight="1">
      <c r="A231" s="5" t="n">
        <v>230</v>
      </c>
      <c r="B231" s="5" t="inlineStr">
        <is>
          <t>Young</t>
        </is>
      </c>
      <c r="C231" s="5" t="n">
        <v>2</v>
      </c>
      <c r="D231" s="5" t="inlineStr">
        <is>
          <t>Michigan</t>
        </is>
      </c>
      <c r="E231" s="5" t="n">
        <v>0</v>
      </c>
      <c r="F231" s="5" t="n">
        <v>53071</v>
      </c>
      <c r="G231" s="5" t="inlineStr">
        <is>
          <t>Strongly disagree</t>
        </is>
      </c>
      <c r="H231" s="5">
        <f>IF(C231=1, "Male", "Female")</f>
        <v/>
      </c>
      <c r="I231" s="5">
        <f>IF(E231=0, "No children", "At least one child")</f>
        <v/>
      </c>
      <c r="J231" s="5">
        <f>IF(F231&lt;40000, "Less than 40K", IF(F231&lt;=70000, "Between 40K and 70K", IF(F231&lt;=100000, "Between 70K and 100K", "Greater than 100K")))</f>
        <v/>
      </c>
      <c r="K231" s="5">
        <f>IF(G231="Strongly disagree", 1, IF(G231="Disagree", 2, IF(G231="Neutral", 3, IF(G231="Agree", 4, IF(G231="Strongly agree", 5, 0)))))</f>
        <v/>
      </c>
    </row>
    <row r="232" ht="28.8" customHeight="1">
      <c r="A232" s="5" t="n">
        <v>231</v>
      </c>
      <c r="B232" s="5" t="inlineStr">
        <is>
          <t>Middle-aged</t>
        </is>
      </c>
      <c r="C232" s="5" t="n">
        <v>2</v>
      </c>
      <c r="D232" s="5" t="inlineStr">
        <is>
          <t>Florida</t>
        </is>
      </c>
      <c r="E232" s="5" t="n">
        <v>2</v>
      </c>
      <c r="F232" s="5" t="n">
        <v>103708</v>
      </c>
      <c r="G232" s="5" t="inlineStr">
        <is>
          <t>Neutral</t>
        </is>
      </c>
      <c r="H232" s="5">
        <f>IF(C232=1, "Male", "Female")</f>
        <v/>
      </c>
      <c r="I232" s="5">
        <f>IF(E232=0, "No children", "At least one child")</f>
        <v/>
      </c>
      <c r="J232" s="5">
        <f>IF(F232&lt;40000, "Less than 40K", IF(F232&lt;=70000, "Between 40K and 70K", IF(F232&lt;=100000, "Between 70K and 100K", "Greater than 100K")))</f>
        <v/>
      </c>
      <c r="K232" s="5">
        <f>IF(G232="Strongly disagree", 1, IF(G232="Disagree", 2, IF(G232="Neutral", 3, IF(G232="Agree", 4, IF(G232="Strongly agree", 5, 0)))))</f>
        <v/>
      </c>
    </row>
    <row r="233" ht="28.8" customHeight="1">
      <c r="A233" s="5" t="n">
        <v>232</v>
      </c>
      <c r="B233" s="5" t="inlineStr">
        <is>
          <t>Young</t>
        </is>
      </c>
      <c r="C233" s="5" t="n">
        <v>2</v>
      </c>
      <c r="D233" s="5" t="inlineStr">
        <is>
          <t>Illinois</t>
        </is>
      </c>
      <c r="E233" s="5" t="n">
        <v>1</v>
      </c>
      <c r="F233" s="5" t="n">
        <v>55677</v>
      </c>
      <c r="G233" s="5" t="inlineStr">
        <is>
          <t>Agree</t>
        </is>
      </c>
      <c r="H233" s="5">
        <f>IF(C233=1, "Male", "Female")</f>
        <v/>
      </c>
      <c r="I233" s="5">
        <f>IF(E233=0, "No children", "At least one child")</f>
        <v/>
      </c>
      <c r="J233" s="5">
        <f>IF(F233&lt;40000, "Less than 40K", IF(F233&lt;=70000, "Between 40K and 70K", IF(F233&lt;=100000, "Between 70K and 100K", "Greater than 100K")))</f>
        <v/>
      </c>
      <c r="K233" s="5">
        <f>IF(G233="Strongly disagree", 1, IF(G233="Disagree", 2, IF(G233="Neutral", 3, IF(G233="Agree", 4, IF(G233="Strongly agree", 5, 0)))))</f>
        <v/>
      </c>
    </row>
    <row r="234" ht="28.8" customHeight="1">
      <c r="A234" s="5" t="n">
        <v>233</v>
      </c>
      <c r="B234" s="5" t="inlineStr">
        <is>
          <t>Young</t>
        </is>
      </c>
      <c r="C234" s="5" t="n">
        <v>1</v>
      </c>
      <c r="D234" s="5" t="inlineStr">
        <is>
          <t>Illinois</t>
        </is>
      </c>
      <c r="E234" s="5" t="n">
        <v>3</v>
      </c>
      <c r="F234" s="5" t="n">
        <v>40741</v>
      </c>
      <c r="G234" s="5" t="inlineStr">
        <is>
          <t>Disagree</t>
        </is>
      </c>
      <c r="H234" s="5">
        <f>IF(C234=1, "Male", "Female")</f>
        <v/>
      </c>
      <c r="I234" s="5">
        <f>IF(E234=0, "No children", "At least one child")</f>
        <v/>
      </c>
      <c r="J234" s="5">
        <f>IF(F234&lt;40000, "Less than 40K", IF(F234&lt;=70000, "Between 40K and 70K", IF(F234&lt;=100000, "Between 70K and 100K", "Greater than 100K")))</f>
        <v/>
      </c>
      <c r="K234" s="5">
        <f>IF(G234="Strongly disagree", 1, IF(G234="Disagree", 2, IF(G234="Neutral", 3, IF(G234="Agree", 4, IF(G234="Strongly agree", 5, 0)))))</f>
        <v/>
      </c>
    </row>
    <row r="235" ht="28.8" customHeight="1">
      <c r="A235" s="5" t="n">
        <v>234</v>
      </c>
      <c r="B235" s="5" t="inlineStr">
        <is>
          <t>Middle-aged</t>
        </is>
      </c>
      <c r="C235" s="5" t="n">
        <v>2</v>
      </c>
      <c r="D235" s="5" t="inlineStr">
        <is>
          <t>New York</t>
        </is>
      </c>
      <c r="E235" s="5" t="n">
        <v>2</v>
      </c>
      <c r="F235" s="5" t="n">
        <v>99813</v>
      </c>
      <c r="G235" s="5" t="inlineStr">
        <is>
          <t>Agree</t>
        </is>
      </c>
      <c r="H235" s="5">
        <f>IF(C235=1, "Male", "Female")</f>
        <v/>
      </c>
      <c r="I235" s="5">
        <f>IF(E235=0, "No children", "At least one child")</f>
        <v/>
      </c>
      <c r="J235" s="5">
        <f>IF(F235&lt;40000, "Less than 40K", IF(F235&lt;=70000, "Between 40K and 70K", IF(F235&lt;=100000, "Between 70K and 100K", "Greater than 100K")))</f>
        <v/>
      </c>
      <c r="K235" s="5">
        <f>IF(G235="Strongly disagree", 1, IF(G235="Disagree", 2, IF(G235="Neutral", 3, IF(G235="Agree", 4, IF(G235="Strongly agree", 5, 0)))))</f>
        <v/>
      </c>
    </row>
    <row r="236" ht="28.8" customHeight="1">
      <c r="A236" s="5" t="n">
        <v>235</v>
      </c>
      <c r="B236" s="5" t="inlineStr">
        <is>
          <t>Middle-aged</t>
        </is>
      </c>
      <c r="C236" s="5" t="n">
        <v>1</v>
      </c>
      <c r="D236" s="5" t="inlineStr">
        <is>
          <t>Michigan</t>
        </is>
      </c>
      <c r="E236" s="5" t="n">
        <v>2</v>
      </c>
      <c r="F236" s="5" t="n">
        <v>86791</v>
      </c>
      <c r="G236" s="5" t="inlineStr">
        <is>
          <t>Strongly disagree</t>
        </is>
      </c>
      <c r="H236" s="5">
        <f>IF(C236=1, "Male", "Female")</f>
        <v/>
      </c>
      <c r="I236" s="5">
        <f>IF(E236=0, "No children", "At least one child")</f>
        <v/>
      </c>
      <c r="J236" s="5">
        <f>IF(F236&lt;40000, "Less than 40K", IF(F236&lt;=70000, "Between 40K and 70K", IF(F236&lt;=100000, "Between 70K and 100K", "Greater than 100K")))</f>
        <v/>
      </c>
      <c r="K236" s="5">
        <f>IF(G236="Strongly disagree", 1, IF(G236="Disagree", 2, IF(G236="Neutral", 3, IF(G236="Agree", 4, IF(G236="Strongly agree", 5, 0)))))</f>
        <v/>
      </c>
    </row>
    <row r="237" ht="28.8" customHeight="1">
      <c r="A237" s="5" t="n">
        <v>236</v>
      </c>
      <c r="B237" s="5" t="inlineStr">
        <is>
          <t>Middle-aged</t>
        </is>
      </c>
      <c r="C237" s="5" t="n">
        <v>1</v>
      </c>
      <c r="D237" s="5" t="inlineStr">
        <is>
          <t>New York</t>
        </is>
      </c>
      <c r="E237" s="5" t="n">
        <v>0</v>
      </c>
      <c r="F237" s="5" t="n">
        <v>110389</v>
      </c>
      <c r="G237" s="5" t="inlineStr">
        <is>
          <t>Strongly agree</t>
        </is>
      </c>
      <c r="H237" s="5">
        <f>IF(C237=1, "Male", "Female")</f>
        <v/>
      </c>
      <c r="I237" s="5">
        <f>IF(E237=0, "No children", "At least one child")</f>
        <v/>
      </c>
      <c r="J237" s="5">
        <f>IF(F237&lt;40000, "Less than 40K", IF(F237&lt;=70000, "Between 40K and 70K", IF(F237&lt;=100000, "Between 70K and 100K", "Greater than 100K")))</f>
        <v/>
      </c>
      <c r="K237" s="5">
        <f>IF(G237="Strongly disagree", 1, IF(G237="Disagree", 2, IF(G237="Neutral", 3, IF(G237="Agree", 4, IF(G237="Strongly agree", 5, 0)))))</f>
        <v/>
      </c>
    </row>
    <row r="238" ht="28.8" customHeight="1">
      <c r="A238" s="5" t="n">
        <v>237</v>
      </c>
      <c r="B238" s="5" t="inlineStr">
        <is>
          <t>Middle-aged</t>
        </is>
      </c>
      <c r="C238" s="5" t="n">
        <v>2</v>
      </c>
      <c r="D238" s="5" t="inlineStr">
        <is>
          <t>Minnesota</t>
        </is>
      </c>
      <c r="E238" s="5" t="n">
        <v>1</v>
      </c>
      <c r="F238" s="5" t="n">
        <v>93524</v>
      </c>
      <c r="G238" s="5" t="inlineStr">
        <is>
          <t>Neutral</t>
        </is>
      </c>
      <c r="H238" s="5">
        <f>IF(C238=1, "Male", "Female")</f>
        <v/>
      </c>
      <c r="I238" s="5">
        <f>IF(E238=0, "No children", "At least one child")</f>
        <v/>
      </c>
      <c r="J238" s="5">
        <f>IF(F238&lt;40000, "Less than 40K", IF(F238&lt;=70000, "Between 40K and 70K", IF(F238&lt;=100000, "Between 70K and 100K", "Greater than 100K")))</f>
        <v/>
      </c>
      <c r="K238" s="5">
        <f>IF(G238="Strongly disagree", 1, IF(G238="Disagree", 2, IF(G238="Neutral", 3, IF(G238="Agree", 4, IF(G238="Strongly agree", 5, 0)))))</f>
        <v/>
      </c>
    </row>
    <row r="239" ht="28.8" customHeight="1">
      <c r="A239" s="5" t="n">
        <v>238</v>
      </c>
      <c r="B239" s="5" t="inlineStr">
        <is>
          <t>Middle-aged</t>
        </is>
      </c>
      <c r="C239" s="5" t="n">
        <v>2</v>
      </c>
      <c r="D239" s="5" t="inlineStr">
        <is>
          <t>Minnesota</t>
        </is>
      </c>
      <c r="E239" s="5" t="n">
        <v>2</v>
      </c>
      <c r="F239" s="5" t="n">
        <v>78578</v>
      </c>
      <c r="G239" s="5" t="inlineStr">
        <is>
          <t>Disagree</t>
        </is>
      </c>
      <c r="H239" s="5">
        <f>IF(C239=1, "Male", "Female")</f>
        <v/>
      </c>
      <c r="I239" s="5">
        <f>IF(E239=0, "No children", "At least one child")</f>
        <v/>
      </c>
      <c r="J239" s="5">
        <f>IF(F239&lt;40000, "Less than 40K", IF(F239&lt;=70000, "Between 40K and 70K", IF(F239&lt;=100000, "Between 70K and 100K", "Greater than 100K")))</f>
        <v/>
      </c>
      <c r="K239" s="5">
        <f>IF(G239="Strongly disagree", 1, IF(G239="Disagree", 2, IF(G239="Neutral", 3, IF(G239="Agree", 4, IF(G239="Strongly agree", 5, 0)))))</f>
        <v/>
      </c>
    </row>
    <row r="240">
      <c r="A240" s="5" t="n">
        <v>239</v>
      </c>
      <c r="B240" s="5" t="inlineStr">
        <is>
          <t>Young</t>
        </is>
      </c>
      <c r="C240" s="5" t="n">
        <v>2</v>
      </c>
      <c r="D240" s="5" t="inlineStr">
        <is>
          <t>Virginia</t>
        </is>
      </c>
      <c r="E240" s="5" t="n">
        <v>0</v>
      </c>
      <c r="F240" s="5" t="n">
        <v>36973</v>
      </c>
      <c r="G240" s="5" t="inlineStr">
        <is>
          <t>Strongly agree</t>
        </is>
      </c>
      <c r="H240" s="5">
        <f>IF(C240=1, "Male", "Female")</f>
        <v/>
      </c>
      <c r="I240" s="5">
        <f>IF(E240=0, "No children", "At least one child")</f>
        <v/>
      </c>
      <c r="J240" s="5">
        <f>IF(F240&lt;40000, "Less than 40K", IF(F240&lt;=70000, "Between 40K and 70K", IF(F240&lt;=100000, "Between 70K and 100K", "Greater than 100K")))</f>
        <v/>
      </c>
      <c r="K240" s="5">
        <f>IF(G240="Strongly disagree", 1, IF(G240="Disagree", 2, IF(G240="Neutral", 3, IF(G240="Agree", 4, IF(G240="Strongly agree", 5, 0)))))</f>
        <v/>
      </c>
    </row>
    <row r="241" ht="28.8" customHeight="1">
      <c r="A241" s="5" t="n">
        <v>240</v>
      </c>
      <c r="B241" s="5" t="inlineStr">
        <is>
          <t>Middle-aged</t>
        </is>
      </c>
      <c r="C241" s="5" t="n">
        <v>1</v>
      </c>
      <c r="D241" s="5" t="inlineStr">
        <is>
          <t>Michigan</t>
        </is>
      </c>
      <c r="E241" s="5" t="n">
        <v>1</v>
      </c>
      <c r="F241" s="5" t="n">
        <v>100009</v>
      </c>
      <c r="G241" s="5" t="inlineStr">
        <is>
          <t>Disagree</t>
        </is>
      </c>
      <c r="H241" s="5">
        <f>IF(C241=1, "Male", "Female")</f>
        <v/>
      </c>
      <c r="I241" s="5">
        <f>IF(E241=0, "No children", "At least one child")</f>
        <v/>
      </c>
      <c r="J241" s="5">
        <f>IF(F241&lt;40000, "Less than 40K", IF(F241&lt;=70000, "Between 40K and 70K", IF(F241&lt;=100000, "Between 70K and 100K", "Greater than 100K")))</f>
        <v/>
      </c>
      <c r="K241" s="5">
        <f>IF(G241="Strongly disagree", 1, IF(G241="Disagree", 2, IF(G241="Neutral", 3, IF(G241="Agree", 4, IF(G241="Strongly agree", 5, 0)))))</f>
        <v/>
      </c>
    </row>
    <row r="242" ht="28.8" customHeight="1">
      <c r="A242" s="5" t="n">
        <v>241</v>
      </c>
      <c r="B242" s="5" t="inlineStr">
        <is>
          <t>Middle-aged</t>
        </is>
      </c>
      <c r="C242" s="5" t="n">
        <v>1</v>
      </c>
      <c r="D242" s="5" t="inlineStr">
        <is>
          <t>Ohio</t>
        </is>
      </c>
      <c r="E242" s="5" t="n">
        <v>2</v>
      </c>
      <c r="F242" s="5" t="n">
        <v>91299</v>
      </c>
      <c r="G242" s="5" t="inlineStr">
        <is>
          <t>Strongly disagree</t>
        </is>
      </c>
      <c r="H242" s="5">
        <f>IF(C242=1, "Male", "Female")</f>
        <v/>
      </c>
      <c r="I242" s="5">
        <f>IF(E242=0, "No children", "At least one child")</f>
        <v/>
      </c>
      <c r="J242" s="5">
        <f>IF(F242&lt;40000, "Less than 40K", IF(F242&lt;=70000, "Between 40K and 70K", IF(F242&lt;=100000, "Between 70K and 100K", "Greater than 100K")))</f>
        <v/>
      </c>
      <c r="K242" s="5">
        <f>IF(G242="Strongly disagree", 1, IF(G242="Disagree", 2, IF(G242="Neutral", 3, IF(G242="Agree", 4, IF(G242="Strongly agree", 5, 0)))))</f>
        <v/>
      </c>
    </row>
    <row r="243" ht="28.8" customHeight="1">
      <c r="A243" s="5" t="n">
        <v>242</v>
      </c>
      <c r="B243" s="5" t="inlineStr">
        <is>
          <t>Young</t>
        </is>
      </c>
      <c r="C243" s="5" t="n">
        <v>2</v>
      </c>
      <c r="D243" s="5" t="inlineStr">
        <is>
          <t>Florida</t>
        </is>
      </c>
      <c r="E243" s="5" t="n">
        <v>0</v>
      </c>
      <c r="F243" s="5" t="n">
        <v>52109</v>
      </c>
      <c r="G243" s="5" t="inlineStr">
        <is>
          <t>Disagree</t>
        </is>
      </c>
      <c r="H243" s="5">
        <f>IF(C243=1, "Male", "Female")</f>
        <v/>
      </c>
      <c r="I243" s="5">
        <f>IF(E243=0, "No children", "At least one child")</f>
        <v/>
      </c>
      <c r="J243" s="5">
        <f>IF(F243&lt;40000, "Less than 40K", IF(F243&lt;=70000, "Between 40K and 70K", IF(F243&lt;=100000, "Between 70K and 100K", "Greater than 100K")))</f>
        <v/>
      </c>
      <c r="K243" s="5">
        <f>IF(G243="Strongly disagree", 1, IF(G243="Disagree", 2, IF(G243="Neutral", 3, IF(G243="Agree", 4, IF(G243="Strongly agree", 5, 0)))))</f>
        <v/>
      </c>
    </row>
    <row r="244" ht="28.8" customHeight="1">
      <c r="A244" s="5" t="n">
        <v>243</v>
      </c>
      <c r="B244" s="5" t="inlineStr">
        <is>
          <t>Young</t>
        </is>
      </c>
      <c r="C244" s="5" t="n">
        <v>2</v>
      </c>
      <c r="D244" s="5" t="inlineStr">
        <is>
          <t>California</t>
        </is>
      </c>
      <c r="E244" s="5" t="n">
        <v>3</v>
      </c>
      <c r="F244" s="5" t="n">
        <v>44176</v>
      </c>
      <c r="G244" s="5" t="inlineStr">
        <is>
          <t>Disagree</t>
        </is>
      </c>
      <c r="H244" s="5">
        <f>IF(C244=1, "Male", "Female")</f>
        <v/>
      </c>
      <c r="I244" s="5">
        <f>IF(E244=0, "No children", "At least one child")</f>
        <v/>
      </c>
      <c r="J244" s="5">
        <f>IF(F244&lt;40000, "Less than 40K", IF(F244&lt;=70000, "Between 40K and 70K", IF(F244&lt;=100000, "Between 70K and 100K", "Greater than 100K")))</f>
        <v/>
      </c>
      <c r="K244" s="5">
        <f>IF(G244="Strongly disagree", 1, IF(G244="Disagree", 2, IF(G244="Neutral", 3, IF(G244="Agree", 4, IF(G244="Strongly agree", 5, 0)))))</f>
        <v/>
      </c>
    </row>
    <row r="245" ht="28.8" customHeight="1">
      <c r="A245" s="5" t="n">
        <v>244</v>
      </c>
      <c r="B245" s="5" t="inlineStr">
        <is>
          <t>Middle-aged</t>
        </is>
      </c>
      <c r="C245" s="5" t="n">
        <v>1</v>
      </c>
      <c r="D245" s="5" t="inlineStr">
        <is>
          <t>Florida</t>
        </is>
      </c>
      <c r="E245" s="5" t="n">
        <v>1</v>
      </c>
      <c r="F245" s="5" t="n">
        <v>77085</v>
      </c>
      <c r="G245" s="5" t="inlineStr">
        <is>
          <t>Agree</t>
        </is>
      </c>
      <c r="H245" s="5">
        <f>IF(C245=1, "Male", "Female")</f>
        <v/>
      </c>
      <c r="I245" s="5">
        <f>IF(E245=0, "No children", "At least one child")</f>
        <v/>
      </c>
      <c r="J245" s="5">
        <f>IF(F245&lt;40000, "Less than 40K", IF(F245&lt;=70000, "Between 40K and 70K", IF(F245&lt;=100000, "Between 70K and 100K", "Greater than 100K")))</f>
        <v/>
      </c>
      <c r="K245" s="5">
        <f>IF(G245="Strongly disagree", 1, IF(G245="Disagree", 2, IF(G245="Neutral", 3, IF(G245="Agree", 4, IF(G245="Strongly agree", 5, 0)))))</f>
        <v/>
      </c>
    </row>
    <row r="246" ht="28.8" customHeight="1">
      <c r="A246" s="5" t="n">
        <v>245</v>
      </c>
      <c r="B246" s="5" t="inlineStr">
        <is>
          <t>Young</t>
        </is>
      </c>
      <c r="C246" s="5" t="n">
        <v>1</v>
      </c>
      <c r="D246" s="5" t="inlineStr">
        <is>
          <t>Florida</t>
        </is>
      </c>
      <c r="E246" s="5" t="n">
        <v>2</v>
      </c>
      <c r="F246" s="5" t="n">
        <v>47096</v>
      </c>
      <c r="G246" s="5" t="inlineStr">
        <is>
          <t>Strongly agree</t>
        </is>
      </c>
      <c r="H246" s="5">
        <f>IF(C246=1, "Male", "Female")</f>
        <v/>
      </c>
      <c r="I246" s="5">
        <f>IF(E246=0, "No children", "At least one child")</f>
        <v/>
      </c>
      <c r="J246" s="5">
        <f>IF(F246&lt;40000, "Less than 40K", IF(F246&lt;=70000, "Between 40K and 70K", IF(F246&lt;=100000, "Between 70K and 100K", "Greater than 100K")))</f>
        <v/>
      </c>
      <c r="K246" s="5">
        <f>IF(G246="Strongly disagree", 1, IF(G246="Disagree", 2, IF(G246="Neutral", 3, IF(G246="Agree", 4, IF(G246="Strongly agree", 5, 0)))))</f>
        <v/>
      </c>
    </row>
    <row r="247" ht="28.8" customHeight="1">
      <c r="A247" s="5" t="n">
        <v>246</v>
      </c>
      <c r="B247" s="5" t="inlineStr">
        <is>
          <t>Middle-aged</t>
        </is>
      </c>
      <c r="C247" s="5" t="n">
        <v>2</v>
      </c>
      <c r="D247" s="5" t="inlineStr">
        <is>
          <t>California</t>
        </is>
      </c>
      <c r="E247" s="5" t="n">
        <v>2</v>
      </c>
      <c r="F247" s="5" t="n">
        <v>77753</v>
      </c>
      <c r="G247" s="5" t="inlineStr">
        <is>
          <t>Strongly disagree</t>
        </is>
      </c>
      <c r="H247" s="5">
        <f>IF(C247=1, "Male", "Female")</f>
        <v/>
      </c>
      <c r="I247" s="5">
        <f>IF(E247=0, "No children", "At least one child")</f>
        <v/>
      </c>
      <c r="J247" s="5">
        <f>IF(F247&lt;40000, "Less than 40K", IF(F247&lt;=70000, "Between 40K and 70K", IF(F247&lt;=100000, "Between 70K and 100K", "Greater than 100K")))</f>
        <v/>
      </c>
      <c r="K247" s="5">
        <f>IF(G247="Strongly disagree", 1, IF(G247="Disagree", 2, IF(G247="Neutral", 3, IF(G247="Agree", 4, IF(G247="Strongly agree", 5, 0)))))</f>
        <v/>
      </c>
    </row>
    <row r="248" ht="28.8" customHeight="1">
      <c r="A248" s="5" t="n">
        <v>247</v>
      </c>
      <c r="B248" s="5" t="inlineStr">
        <is>
          <t>Middle-aged</t>
        </is>
      </c>
      <c r="C248" s="5" t="n">
        <v>2</v>
      </c>
      <c r="D248" s="5" t="inlineStr">
        <is>
          <t>New York</t>
        </is>
      </c>
      <c r="E248" s="5" t="n">
        <v>2</v>
      </c>
      <c r="F248" s="5" t="n">
        <v>100062</v>
      </c>
      <c r="G248" s="5" t="inlineStr">
        <is>
          <t>Strongly agree</t>
        </is>
      </c>
      <c r="H248" s="5">
        <f>IF(C248=1, "Male", "Female")</f>
        <v/>
      </c>
      <c r="I248" s="5">
        <f>IF(E248=0, "No children", "At least one child")</f>
        <v/>
      </c>
      <c r="J248" s="5">
        <f>IF(F248&lt;40000, "Less than 40K", IF(F248&lt;=70000, "Between 40K and 70K", IF(F248&lt;=100000, "Between 70K and 100K", "Greater than 100K")))</f>
        <v/>
      </c>
      <c r="K248" s="5">
        <f>IF(G248="Strongly disagree", 1, IF(G248="Disagree", 2, IF(G248="Neutral", 3, IF(G248="Agree", 4, IF(G248="Strongly agree", 5, 0)))))</f>
        <v/>
      </c>
    </row>
    <row r="249" ht="28.8" customHeight="1">
      <c r="A249" s="5" t="n">
        <v>248</v>
      </c>
      <c r="B249" s="5" t="inlineStr">
        <is>
          <t>Middle-aged</t>
        </is>
      </c>
      <c r="C249" s="5" t="n">
        <v>2</v>
      </c>
      <c r="D249" s="5" t="inlineStr">
        <is>
          <t>Illinois</t>
        </is>
      </c>
      <c r="E249" s="5" t="n">
        <v>2</v>
      </c>
      <c r="F249" s="5" t="n">
        <v>131489</v>
      </c>
      <c r="G249" s="5" t="inlineStr">
        <is>
          <t>Strongly disagree</t>
        </is>
      </c>
      <c r="H249" s="5">
        <f>IF(C249=1, "Male", "Female")</f>
        <v/>
      </c>
      <c r="I249" s="5">
        <f>IF(E249=0, "No children", "At least one child")</f>
        <v/>
      </c>
      <c r="J249" s="5">
        <f>IF(F249&lt;40000, "Less than 40K", IF(F249&lt;=70000, "Between 40K and 70K", IF(F249&lt;=100000, "Between 70K and 100K", "Greater than 100K")))</f>
        <v/>
      </c>
      <c r="K249" s="5">
        <f>IF(G249="Strongly disagree", 1, IF(G249="Disagree", 2, IF(G249="Neutral", 3, IF(G249="Agree", 4, IF(G249="Strongly agree", 5, 0)))))</f>
        <v/>
      </c>
    </row>
    <row r="250" ht="28.8" customHeight="1">
      <c r="A250" s="5" t="n">
        <v>249</v>
      </c>
      <c r="B250" s="5" t="inlineStr">
        <is>
          <t>Young</t>
        </is>
      </c>
      <c r="C250" s="5" t="n">
        <v>1</v>
      </c>
      <c r="D250" s="5" t="inlineStr">
        <is>
          <t>Michigan</t>
        </is>
      </c>
      <c r="E250" s="5" t="n">
        <v>0</v>
      </c>
      <c r="F250" s="5" t="n">
        <v>51081</v>
      </c>
      <c r="G250" s="5" t="inlineStr">
        <is>
          <t>Agree</t>
        </is>
      </c>
      <c r="H250" s="5">
        <f>IF(C250=1, "Male", "Female")</f>
        <v/>
      </c>
      <c r="I250" s="5">
        <f>IF(E250=0, "No children", "At least one child")</f>
        <v/>
      </c>
      <c r="J250" s="5">
        <f>IF(F250&lt;40000, "Less than 40K", IF(F250&lt;=70000, "Between 40K and 70K", IF(F250&lt;=100000, "Between 70K and 100K", "Greater than 100K")))</f>
        <v/>
      </c>
      <c r="K250" s="5">
        <f>IF(G250="Strongly disagree", 1, IF(G250="Disagree", 2, IF(G250="Neutral", 3, IF(G250="Agree", 4, IF(G250="Strongly agree", 5, 0)))))</f>
        <v/>
      </c>
    </row>
    <row r="251">
      <c r="A251" s="5" t="n">
        <v>250</v>
      </c>
      <c r="B251" s="5" t="inlineStr">
        <is>
          <t>Young</t>
        </is>
      </c>
      <c r="C251" s="5" t="n">
        <v>2</v>
      </c>
      <c r="D251" s="5" t="inlineStr">
        <is>
          <t>Minnesota</t>
        </is>
      </c>
      <c r="E251" s="5" t="n">
        <v>1</v>
      </c>
      <c r="F251" s="5" t="n">
        <v>31314</v>
      </c>
      <c r="G251" s="5" t="inlineStr">
        <is>
          <t>Strongly agree</t>
        </is>
      </c>
      <c r="H251" s="5">
        <f>IF(C251=1, "Male", "Female")</f>
        <v/>
      </c>
      <c r="I251" s="5">
        <f>IF(E251=0, "No children", "At least one child")</f>
        <v/>
      </c>
      <c r="J251" s="5">
        <f>IF(F251&lt;40000, "Less than 40K", IF(F251&lt;=70000, "Between 40K and 70K", IF(F251&lt;=100000, "Between 70K and 100K", "Greater than 100K")))</f>
        <v/>
      </c>
      <c r="K251" s="5">
        <f>IF(G251="Strongly disagree", 1, IF(G251="Disagree", 2, IF(G251="Neutral", 3, IF(G251="Agree", 4, IF(G251="Strongly agree", 5, 0)))))</f>
        <v/>
      </c>
    </row>
    <row r="252" ht="28.8" customHeight="1">
      <c r="A252" s="5" t="n">
        <v>251</v>
      </c>
      <c r="B252" s="5" t="inlineStr">
        <is>
          <t>Middle-aged</t>
        </is>
      </c>
      <c r="C252" s="5" t="n">
        <v>1</v>
      </c>
      <c r="D252" s="5" t="inlineStr">
        <is>
          <t>California</t>
        </is>
      </c>
      <c r="E252" s="5" t="n">
        <v>2</v>
      </c>
      <c r="F252" s="5" t="n">
        <v>62454</v>
      </c>
      <c r="G252" s="5" t="inlineStr">
        <is>
          <t>Strongly disagree</t>
        </is>
      </c>
      <c r="H252" s="5">
        <f>IF(C252=1, "Male", "Female")</f>
        <v/>
      </c>
      <c r="I252" s="5">
        <f>IF(E252=0, "No children", "At least one child")</f>
        <v/>
      </c>
      <c r="J252" s="5">
        <f>IF(F252&lt;40000, "Less than 40K", IF(F252&lt;=70000, "Between 40K and 70K", IF(F252&lt;=100000, "Between 70K and 100K", "Greater than 100K")))</f>
        <v/>
      </c>
      <c r="K252" s="5">
        <f>IF(G252="Strongly disagree", 1, IF(G252="Disagree", 2, IF(G252="Neutral", 3, IF(G252="Agree", 4, IF(G252="Strongly agree", 5, 0)))))</f>
        <v/>
      </c>
    </row>
    <row r="253" ht="28.8" customHeight="1">
      <c r="A253" s="5" t="n">
        <v>252</v>
      </c>
      <c r="B253" s="5" t="inlineStr">
        <is>
          <t>Young</t>
        </is>
      </c>
      <c r="C253" s="5" t="n">
        <v>1</v>
      </c>
      <c r="D253" s="5" t="inlineStr">
        <is>
          <t>Virginia</t>
        </is>
      </c>
      <c r="E253" s="5" t="n">
        <v>0</v>
      </c>
      <c r="F253" s="5" t="n">
        <v>53173</v>
      </c>
      <c r="G253" s="5" t="inlineStr">
        <is>
          <t>Disagree</t>
        </is>
      </c>
      <c r="H253" s="5">
        <f>IF(C253=1, "Male", "Female")</f>
        <v/>
      </c>
      <c r="I253" s="5">
        <f>IF(E253=0, "No children", "At least one child")</f>
        <v/>
      </c>
      <c r="J253" s="5">
        <f>IF(F253&lt;40000, "Less than 40K", IF(F253&lt;=70000, "Between 40K and 70K", IF(F253&lt;=100000, "Between 70K and 100K", "Greater than 100K")))</f>
        <v/>
      </c>
      <c r="K253" s="5">
        <f>IF(G253="Strongly disagree", 1, IF(G253="Disagree", 2, IF(G253="Neutral", 3, IF(G253="Agree", 4, IF(G253="Strongly agree", 5, 0)))))</f>
        <v/>
      </c>
    </row>
    <row r="254" ht="28.8" customHeight="1">
      <c r="A254" s="5" t="n">
        <v>253</v>
      </c>
      <c r="B254" s="5" t="inlineStr">
        <is>
          <t>Elderly</t>
        </is>
      </c>
      <c r="C254" s="5" t="n">
        <v>2</v>
      </c>
      <c r="D254" s="5" t="inlineStr">
        <is>
          <t>Michigan</t>
        </is>
      </c>
      <c r="E254" s="5" t="n">
        <v>0</v>
      </c>
      <c r="F254" s="5" t="n">
        <v>54506</v>
      </c>
      <c r="G254" s="5" t="inlineStr">
        <is>
          <t>Strongly disagree</t>
        </is>
      </c>
      <c r="H254" s="5">
        <f>IF(C254=1, "Male", "Female")</f>
        <v/>
      </c>
      <c r="I254" s="5">
        <f>IF(E254=0, "No children", "At least one child")</f>
        <v/>
      </c>
      <c r="J254" s="5">
        <f>IF(F254&lt;40000, "Less than 40K", IF(F254&lt;=70000, "Between 40K and 70K", IF(F254&lt;=100000, "Between 70K and 100K", "Greater than 100K")))</f>
        <v/>
      </c>
      <c r="K254" s="5">
        <f>IF(G254="Strongly disagree", 1, IF(G254="Disagree", 2, IF(G254="Neutral", 3, IF(G254="Agree", 4, IF(G254="Strongly agree", 5, 0)))))</f>
        <v/>
      </c>
    </row>
    <row r="255" ht="28.8" customHeight="1">
      <c r="A255" s="5" t="n">
        <v>254</v>
      </c>
      <c r="B255" s="5" t="inlineStr">
        <is>
          <t>Elderly</t>
        </is>
      </c>
      <c r="C255" s="5" t="n">
        <v>2</v>
      </c>
      <c r="D255" s="5" t="inlineStr">
        <is>
          <t>Michigan</t>
        </is>
      </c>
      <c r="E255" s="5" t="n">
        <v>2</v>
      </c>
      <c r="F255" s="5" t="n">
        <v>84168</v>
      </c>
      <c r="G255" s="5" t="inlineStr">
        <is>
          <t>Neutral</t>
        </is>
      </c>
      <c r="H255" s="5">
        <f>IF(C255=1, "Male", "Female")</f>
        <v/>
      </c>
      <c r="I255" s="5">
        <f>IF(E255=0, "No children", "At least one child")</f>
        <v/>
      </c>
      <c r="J255" s="5">
        <f>IF(F255&lt;40000, "Less than 40K", IF(F255&lt;=70000, "Between 40K and 70K", IF(F255&lt;=100000, "Between 70K and 100K", "Greater than 100K")))</f>
        <v/>
      </c>
      <c r="K255" s="5">
        <f>IF(G255="Strongly disagree", 1, IF(G255="Disagree", 2, IF(G255="Neutral", 3, IF(G255="Agree", 4, IF(G255="Strongly agree", 5, 0)))))</f>
        <v/>
      </c>
    </row>
    <row r="256" ht="28.8" customHeight="1">
      <c r="A256" s="5" t="n">
        <v>255</v>
      </c>
      <c r="B256" s="5" t="inlineStr">
        <is>
          <t>Middle-aged</t>
        </is>
      </c>
      <c r="C256" s="5" t="n">
        <v>2</v>
      </c>
      <c r="D256" s="5" t="inlineStr">
        <is>
          <t>Texas</t>
        </is>
      </c>
      <c r="E256" s="5" t="n">
        <v>0</v>
      </c>
      <c r="F256" s="5" t="n">
        <v>109022</v>
      </c>
      <c r="G256" s="5" t="inlineStr">
        <is>
          <t>Disagree</t>
        </is>
      </c>
      <c r="H256" s="5">
        <f>IF(C256=1, "Male", "Female")</f>
        <v/>
      </c>
      <c r="I256" s="5">
        <f>IF(E256=0, "No children", "At least one child")</f>
        <v/>
      </c>
      <c r="J256" s="5">
        <f>IF(F256&lt;40000, "Less than 40K", IF(F256&lt;=70000, "Between 40K and 70K", IF(F256&lt;=100000, "Between 70K and 100K", "Greater than 100K")))</f>
        <v/>
      </c>
      <c r="K256" s="5">
        <f>IF(G256="Strongly disagree", 1, IF(G256="Disagree", 2, IF(G256="Neutral", 3, IF(G256="Agree", 4, IF(G256="Strongly agree", 5, 0)))))</f>
        <v/>
      </c>
    </row>
    <row r="257" ht="28.8" customHeight="1">
      <c r="A257" s="5" t="n">
        <v>256</v>
      </c>
      <c r="B257" s="5" t="inlineStr">
        <is>
          <t>Elderly</t>
        </is>
      </c>
      <c r="C257" s="5" t="n">
        <v>2</v>
      </c>
      <c r="D257" s="5" t="inlineStr">
        <is>
          <t>Arizona</t>
        </is>
      </c>
      <c r="E257" s="5" t="n">
        <v>3</v>
      </c>
      <c r="F257" s="5" t="n">
        <v>60242</v>
      </c>
      <c r="G257" s="5" t="inlineStr">
        <is>
          <t>Agree</t>
        </is>
      </c>
      <c r="H257" s="5">
        <f>IF(C257=1, "Male", "Female")</f>
        <v/>
      </c>
      <c r="I257" s="5">
        <f>IF(E257=0, "No children", "At least one child")</f>
        <v/>
      </c>
      <c r="J257" s="5">
        <f>IF(F257&lt;40000, "Less than 40K", IF(F257&lt;=70000, "Between 40K and 70K", IF(F257&lt;=100000, "Between 70K and 100K", "Greater than 100K")))</f>
        <v/>
      </c>
      <c r="K257" s="5">
        <f>IF(G257="Strongly disagree", 1, IF(G257="Disagree", 2, IF(G257="Neutral", 3, IF(G257="Agree", 4, IF(G257="Strongly agree", 5, 0)))))</f>
        <v/>
      </c>
    </row>
    <row r="258" ht="28.8" customHeight="1">
      <c r="A258" s="5" t="n">
        <v>257</v>
      </c>
      <c r="B258" s="5" t="inlineStr">
        <is>
          <t>Middle-aged</t>
        </is>
      </c>
      <c r="C258" s="5" t="n">
        <v>2</v>
      </c>
      <c r="D258" s="5" t="inlineStr">
        <is>
          <t>Minnesota</t>
        </is>
      </c>
      <c r="E258" s="5" t="n">
        <v>3</v>
      </c>
      <c r="F258" s="5" t="n">
        <v>134254</v>
      </c>
      <c r="G258" s="5" t="inlineStr">
        <is>
          <t>Agree</t>
        </is>
      </c>
      <c r="H258" s="5">
        <f>IF(C258=1, "Male", "Female")</f>
        <v/>
      </c>
      <c r="I258" s="5">
        <f>IF(E258=0, "No children", "At least one child")</f>
        <v/>
      </c>
      <c r="J258" s="5">
        <f>IF(F258&lt;40000, "Less than 40K", IF(F258&lt;=70000, "Between 40K and 70K", IF(F258&lt;=100000, "Between 70K and 100K", "Greater than 100K")))</f>
        <v/>
      </c>
      <c r="K258" s="5">
        <f>IF(G258="Strongly disagree", 1, IF(G258="Disagree", 2, IF(G258="Neutral", 3, IF(G258="Agree", 4, IF(G258="Strongly agree", 5, 0)))))</f>
        <v/>
      </c>
    </row>
    <row r="259" ht="28.8" customHeight="1">
      <c r="A259" s="5" t="n">
        <v>258</v>
      </c>
      <c r="B259" s="5" t="inlineStr">
        <is>
          <t>Middle-aged</t>
        </is>
      </c>
      <c r="C259" s="5" t="n">
        <v>2</v>
      </c>
      <c r="D259" s="5" t="inlineStr">
        <is>
          <t>Michigan</t>
        </is>
      </c>
      <c r="E259" s="5" t="n">
        <v>1</v>
      </c>
      <c r="F259" s="5" t="n">
        <v>107768</v>
      </c>
      <c r="G259" s="5" t="inlineStr">
        <is>
          <t>Neutral</t>
        </is>
      </c>
      <c r="H259" s="5">
        <f>IF(C259=1, "Male", "Female")</f>
        <v/>
      </c>
      <c r="I259" s="5">
        <f>IF(E259=0, "No children", "At least one child")</f>
        <v/>
      </c>
      <c r="J259" s="5">
        <f>IF(F259&lt;40000, "Less than 40K", IF(F259&lt;=70000, "Between 40K and 70K", IF(F259&lt;=100000, "Between 70K and 100K", "Greater than 100K")))</f>
        <v/>
      </c>
      <c r="K259" s="5">
        <f>IF(G259="Strongly disagree", 1, IF(G259="Disagree", 2, IF(G259="Neutral", 3, IF(G259="Agree", 4, IF(G259="Strongly agree", 5, 0)))))</f>
        <v/>
      </c>
    </row>
    <row r="260" ht="28.8" customHeight="1">
      <c r="A260" s="5" t="n">
        <v>259</v>
      </c>
      <c r="B260" s="5" t="inlineStr">
        <is>
          <t>Elderly</t>
        </is>
      </c>
      <c r="C260" s="5" t="n">
        <v>1</v>
      </c>
      <c r="D260" s="5" t="inlineStr">
        <is>
          <t>Texas</t>
        </is>
      </c>
      <c r="E260" s="5" t="n">
        <v>2</v>
      </c>
      <c r="F260" s="5" t="n">
        <v>79433</v>
      </c>
      <c r="G260" s="5" t="inlineStr">
        <is>
          <t>Agree</t>
        </is>
      </c>
      <c r="H260" s="5">
        <f>IF(C260=1, "Male", "Female")</f>
        <v/>
      </c>
      <c r="I260" s="5">
        <f>IF(E260=0, "No children", "At least one child")</f>
        <v/>
      </c>
      <c r="J260" s="5">
        <f>IF(F260&lt;40000, "Less than 40K", IF(F260&lt;=70000, "Between 40K and 70K", IF(F260&lt;=100000, "Between 70K and 100K", "Greater than 100K")))</f>
        <v/>
      </c>
      <c r="K260" s="5">
        <f>IF(G260="Strongly disagree", 1, IF(G260="Disagree", 2, IF(G260="Neutral", 3, IF(G260="Agree", 4, IF(G260="Strongly agree", 5, 0)))))</f>
        <v/>
      </c>
    </row>
    <row r="261" ht="28.8" customHeight="1">
      <c r="A261" s="5" t="n">
        <v>260</v>
      </c>
      <c r="B261" s="5" t="inlineStr">
        <is>
          <t>Middle-aged</t>
        </is>
      </c>
      <c r="C261" s="5" t="n">
        <v>2</v>
      </c>
      <c r="D261" s="5" t="inlineStr">
        <is>
          <t>New York</t>
        </is>
      </c>
      <c r="E261" s="5" t="n">
        <v>2</v>
      </c>
      <c r="F261" s="5" t="n">
        <v>110266</v>
      </c>
      <c r="G261" s="5" t="inlineStr">
        <is>
          <t>Agree</t>
        </is>
      </c>
      <c r="H261" s="5">
        <f>IF(C261=1, "Male", "Female")</f>
        <v/>
      </c>
      <c r="I261" s="5">
        <f>IF(E261=0, "No children", "At least one child")</f>
        <v/>
      </c>
      <c r="J261" s="5">
        <f>IF(F261&lt;40000, "Less than 40K", IF(F261&lt;=70000, "Between 40K and 70K", IF(F261&lt;=100000, "Between 70K and 100K", "Greater than 100K")))</f>
        <v/>
      </c>
      <c r="K261" s="5">
        <f>IF(G261="Strongly disagree", 1, IF(G261="Disagree", 2, IF(G261="Neutral", 3, IF(G261="Agree", 4, IF(G261="Strongly agree", 5, 0)))))</f>
        <v/>
      </c>
    </row>
    <row r="262" ht="28.8" customHeight="1">
      <c r="A262" s="5" t="n">
        <v>261</v>
      </c>
      <c r="B262" s="5" t="inlineStr">
        <is>
          <t>Elderly</t>
        </is>
      </c>
      <c r="C262" s="5" t="n">
        <v>1</v>
      </c>
      <c r="D262" s="5" t="inlineStr">
        <is>
          <t>Ohio</t>
        </is>
      </c>
      <c r="E262" s="5" t="n">
        <v>0</v>
      </c>
      <c r="F262" s="5" t="n">
        <v>66120</v>
      </c>
      <c r="G262" s="5" t="inlineStr">
        <is>
          <t>Strongly agree</t>
        </is>
      </c>
      <c r="H262" s="5">
        <f>IF(C262=1, "Male", "Female")</f>
        <v/>
      </c>
      <c r="I262" s="5">
        <f>IF(E262=0, "No children", "At least one child")</f>
        <v/>
      </c>
      <c r="J262" s="5">
        <f>IF(F262&lt;40000, "Less than 40K", IF(F262&lt;=70000, "Between 40K and 70K", IF(F262&lt;=100000, "Between 70K and 100K", "Greater than 100K")))</f>
        <v/>
      </c>
      <c r="K262" s="5">
        <f>IF(G262="Strongly disagree", 1, IF(G262="Disagree", 2, IF(G262="Neutral", 3, IF(G262="Agree", 4, IF(G262="Strongly agree", 5, 0)))))</f>
        <v/>
      </c>
    </row>
    <row r="263" ht="28.8" customHeight="1">
      <c r="A263" s="5" t="n">
        <v>262</v>
      </c>
      <c r="B263" s="5" t="inlineStr">
        <is>
          <t>Middle-aged</t>
        </is>
      </c>
      <c r="C263" s="5" t="n">
        <v>1</v>
      </c>
      <c r="D263" s="5" t="inlineStr">
        <is>
          <t>New York</t>
        </is>
      </c>
      <c r="E263" s="5" t="n">
        <v>2</v>
      </c>
      <c r="F263" s="5" t="n">
        <v>83848</v>
      </c>
      <c r="G263" s="5" t="inlineStr">
        <is>
          <t>Disagree</t>
        </is>
      </c>
      <c r="H263" s="5">
        <f>IF(C263=1, "Male", "Female")</f>
        <v/>
      </c>
      <c r="I263" s="5">
        <f>IF(E263=0, "No children", "At least one child")</f>
        <v/>
      </c>
      <c r="J263" s="5">
        <f>IF(F263&lt;40000, "Less than 40K", IF(F263&lt;=70000, "Between 40K and 70K", IF(F263&lt;=100000, "Between 70K and 100K", "Greater than 100K")))</f>
        <v/>
      </c>
      <c r="K263" s="5">
        <f>IF(G263="Strongly disagree", 1, IF(G263="Disagree", 2, IF(G263="Neutral", 3, IF(G263="Agree", 4, IF(G263="Strongly agree", 5, 0)))))</f>
        <v/>
      </c>
    </row>
    <row r="264" ht="28.8" customHeight="1">
      <c r="A264" s="5" t="n">
        <v>263</v>
      </c>
      <c r="B264" s="5" t="inlineStr">
        <is>
          <t>Middle-aged</t>
        </is>
      </c>
      <c r="C264" s="5" t="n">
        <v>2</v>
      </c>
      <c r="D264" s="5" t="inlineStr">
        <is>
          <t>New York</t>
        </is>
      </c>
      <c r="E264" s="5" t="n">
        <v>0</v>
      </c>
      <c r="F264" s="5" t="n">
        <v>69546</v>
      </c>
      <c r="G264" s="5" t="inlineStr">
        <is>
          <t>Strongly agree</t>
        </is>
      </c>
      <c r="H264" s="5">
        <f>IF(C264=1, "Male", "Female")</f>
        <v/>
      </c>
      <c r="I264" s="5">
        <f>IF(E264=0, "No children", "At least one child")</f>
        <v/>
      </c>
      <c r="J264" s="5">
        <f>IF(F264&lt;40000, "Less than 40K", IF(F264&lt;=70000, "Between 40K and 70K", IF(F264&lt;=100000, "Between 70K and 100K", "Greater than 100K")))</f>
        <v/>
      </c>
      <c r="K264" s="5">
        <f>IF(G264="Strongly disagree", 1, IF(G264="Disagree", 2, IF(G264="Neutral", 3, IF(G264="Agree", 4, IF(G264="Strongly agree", 5, 0)))))</f>
        <v/>
      </c>
    </row>
    <row r="265" ht="28.8" customHeight="1">
      <c r="A265" s="5" t="n">
        <v>264</v>
      </c>
      <c r="B265" s="5" t="inlineStr">
        <is>
          <t>Elderly</t>
        </is>
      </c>
      <c r="C265" s="5" t="n">
        <v>2</v>
      </c>
      <c r="D265" s="5" t="inlineStr">
        <is>
          <t>Minnesota</t>
        </is>
      </c>
      <c r="E265" s="5" t="n">
        <v>2</v>
      </c>
      <c r="F265" s="5" t="n">
        <v>65085</v>
      </c>
      <c r="G265" s="5" t="inlineStr">
        <is>
          <t>Disagree</t>
        </is>
      </c>
      <c r="H265" s="5">
        <f>IF(C265=1, "Male", "Female")</f>
        <v/>
      </c>
      <c r="I265" s="5">
        <f>IF(E265=0, "No children", "At least one child")</f>
        <v/>
      </c>
      <c r="J265" s="5">
        <f>IF(F265&lt;40000, "Less than 40K", IF(F265&lt;=70000, "Between 40K and 70K", IF(F265&lt;=100000, "Between 70K and 100K", "Greater than 100K")))</f>
        <v/>
      </c>
      <c r="K265" s="5">
        <f>IF(G265="Strongly disagree", 1, IF(G265="Disagree", 2, IF(G265="Neutral", 3, IF(G265="Agree", 4, IF(G265="Strongly agree", 5, 0)))))</f>
        <v/>
      </c>
    </row>
    <row r="266" ht="28.8" customHeight="1">
      <c r="A266" s="5" t="n">
        <v>265</v>
      </c>
      <c r="B266" s="5" t="inlineStr">
        <is>
          <t>Middle-aged</t>
        </is>
      </c>
      <c r="C266" s="5" t="n">
        <v>1</v>
      </c>
      <c r="D266" s="5" t="inlineStr">
        <is>
          <t>Minnesota</t>
        </is>
      </c>
      <c r="E266" s="5" t="n">
        <v>2</v>
      </c>
      <c r="F266" s="5" t="n">
        <v>73359</v>
      </c>
      <c r="G266" s="5" t="inlineStr">
        <is>
          <t>Neutral</t>
        </is>
      </c>
      <c r="H266" s="5">
        <f>IF(C266=1, "Male", "Female")</f>
        <v/>
      </c>
      <c r="I266" s="5">
        <f>IF(E266=0, "No children", "At least one child")</f>
        <v/>
      </c>
      <c r="J266" s="5">
        <f>IF(F266&lt;40000, "Less than 40K", IF(F266&lt;=70000, "Between 40K and 70K", IF(F266&lt;=100000, "Between 70K and 100K", "Greater than 100K")))</f>
        <v/>
      </c>
      <c r="K266" s="5">
        <f>IF(G266="Strongly disagree", 1, IF(G266="Disagree", 2, IF(G266="Neutral", 3, IF(G266="Agree", 4, IF(G266="Strongly agree", 5, 0)))))</f>
        <v/>
      </c>
    </row>
    <row r="267">
      <c r="A267" s="5" t="n">
        <v>266</v>
      </c>
      <c r="B267" s="5" t="inlineStr">
        <is>
          <t>Young</t>
        </is>
      </c>
      <c r="C267" s="5" t="n">
        <v>2</v>
      </c>
      <c r="D267" s="5" t="inlineStr">
        <is>
          <t>Texas</t>
        </is>
      </c>
      <c r="E267" s="5" t="n">
        <v>1</v>
      </c>
      <c r="F267" s="5" t="n">
        <v>36749</v>
      </c>
      <c r="G267" s="5" t="inlineStr">
        <is>
          <t>Agree</t>
        </is>
      </c>
      <c r="H267" s="5">
        <f>IF(C267=1, "Male", "Female")</f>
        <v/>
      </c>
      <c r="I267" s="5">
        <f>IF(E267=0, "No children", "At least one child")</f>
        <v/>
      </c>
      <c r="J267" s="5">
        <f>IF(F267&lt;40000, "Less than 40K", IF(F267&lt;=70000, "Between 40K and 70K", IF(F267&lt;=100000, "Between 70K and 100K", "Greater than 100K")))</f>
        <v/>
      </c>
      <c r="K267" s="5">
        <f>IF(G267="Strongly disagree", 1, IF(G267="Disagree", 2, IF(G267="Neutral", 3, IF(G267="Agree", 4, IF(G267="Strongly agree", 5, 0)))))</f>
        <v/>
      </c>
    </row>
    <row r="268" ht="28.8" customHeight="1">
      <c r="A268" s="5" t="n">
        <v>267</v>
      </c>
      <c r="B268" s="5" t="inlineStr">
        <is>
          <t>Elderly</t>
        </is>
      </c>
      <c r="C268" s="5" t="n">
        <v>1</v>
      </c>
      <c r="D268" s="5" t="inlineStr">
        <is>
          <t>Florida</t>
        </is>
      </c>
      <c r="E268" s="5" t="n">
        <v>2</v>
      </c>
      <c r="F268" s="5" t="n">
        <v>91007</v>
      </c>
      <c r="G268" s="5" t="inlineStr">
        <is>
          <t>Strongly disagree</t>
        </is>
      </c>
      <c r="H268" s="5">
        <f>IF(C268=1, "Male", "Female")</f>
        <v/>
      </c>
      <c r="I268" s="5">
        <f>IF(E268=0, "No children", "At least one child")</f>
        <v/>
      </c>
      <c r="J268" s="5">
        <f>IF(F268&lt;40000, "Less than 40K", IF(F268&lt;=70000, "Between 40K and 70K", IF(F268&lt;=100000, "Between 70K and 100K", "Greater than 100K")))</f>
        <v/>
      </c>
      <c r="K268" s="5">
        <f>IF(G268="Strongly disagree", 1, IF(G268="Disagree", 2, IF(G268="Neutral", 3, IF(G268="Agree", 4, IF(G268="Strongly agree", 5, 0)))))</f>
        <v/>
      </c>
    </row>
    <row r="269" ht="28.8" customHeight="1">
      <c r="A269" s="5" t="n">
        <v>268</v>
      </c>
      <c r="B269" s="5" t="inlineStr">
        <is>
          <t>Middle-aged</t>
        </is>
      </c>
      <c r="C269" s="5" t="n">
        <v>1</v>
      </c>
      <c r="D269" s="5" t="inlineStr">
        <is>
          <t>New York</t>
        </is>
      </c>
      <c r="E269" s="5" t="n">
        <v>0</v>
      </c>
      <c r="F269" s="5" t="n">
        <v>76408</v>
      </c>
      <c r="G269" s="5" t="inlineStr">
        <is>
          <t>Strongly agree</t>
        </is>
      </c>
      <c r="H269" s="5">
        <f>IF(C269=1, "Male", "Female")</f>
        <v/>
      </c>
      <c r="I269" s="5">
        <f>IF(E269=0, "No children", "At least one child")</f>
        <v/>
      </c>
      <c r="J269" s="5">
        <f>IF(F269&lt;40000, "Less than 40K", IF(F269&lt;=70000, "Between 40K and 70K", IF(F269&lt;=100000, "Between 70K and 100K", "Greater than 100K")))</f>
        <v/>
      </c>
      <c r="K269" s="5">
        <f>IF(G269="Strongly disagree", 1, IF(G269="Disagree", 2, IF(G269="Neutral", 3, IF(G269="Agree", 4, IF(G269="Strongly agree", 5, 0)))))</f>
        <v/>
      </c>
    </row>
    <row r="270" ht="28.8" customHeight="1">
      <c r="A270" s="5" t="n">
        <v>269</v>
      </c>
      <c r="B270" s="5" t="inlineStr">
        <is>
          <t>Middle-aged</t>
        </is>
      </c>
      <c r="C270" s="5" t="n">
        <v>2</v>
      </c>
      <c r="D270" s="5" t="inlineStr">
        <is>
          <t>Texas</t>
        </is>
      </c>
      <c r="E270" s="5" t="n">
        <v>0</v>
      </c>
      <c r="F270" s="5" t="n">
        <v>84572</v>
      </c>
      <c r="G270" s="5" t="inlineStr">
        <is>
          <t>Strongly agree</t>
        </is>
      </c>
      <c r="H270" s="5">
        <f>IF(C270=1, "Male", "Female")</f>
        <v/>
      </c>
      <c r="I270" s="5">
        <f>IF(E270=0, "No children", "At least one child")</f>
        <v/>
      </c>
      <c r="J270" s="5">
        <f>IF(F270&lt;40000, "Less than 40K", IF(F270&lt;=70000, "Between 40K and 70K", IF(F270&lt;=100000, "Between 70K and 100K", "Greater than 100K")))</f>
        <v/>
      </c>
      <c r="K270" s="5">
        <f>IF(G270="Strongly disagree", 1, IF(G270="Disagree", 2, IF(G270="Neutral", 3, IF(G270="Agree", 4, IF(G270="Strongly agree", 5, 0)))))</f>
        <v/>
      </c>
    </row>
    <row r="271" ht="28.8" customHeight="1">
      <c r="A271" s="5" t="n">
        <v>270</v>
      </c>
      <c r="B271" s="5" t="inlineStr">
        <is>
          <t>Middle-aged</t>
        </is>
      </c>
      <c r="C271" s="5" t="n">
        <v>1</v>
      </c>
      <c r="D271" s="5" t="inlineStr">
        <is>
          <t>Minnesota</t>
        </is>
      </c>
      <c r="E271" s="5" t="n">
        <v>3</v>
      </c>
      <c r="F271" s="5" t="n">
        <v>107253</v>
      </c>
      <c r="G271" s="5" t="inlineStr">
        <is>
          <t>Strongly disagree</t>
        </is>
      </c>
      <c r="H271" s="5">
        <f>IF(C271=1, "Male", "Female")</f>
        <v/>
      </c>
      <c r="I271" s="5">
        <f>IF(E271=0, "No children", "At least one child")</f>
        <v/>
      </c>
      <c r="J271" s="5">
        <f>IF(F271&lt;40000, "Less than 40K", IF(F271&lt;=70000, "Between 40K and 70K", IF(F271&lt;=100000, "Between 70K and 100K", "Greater than 100K")))</f>
        <v/>
      </c>
      <c r="K271" s="5">
        <f>IF(G271="Strongly disagree", 1, IF(G271="Disagree", 2, IF(G271="Neutral", 3, IF(G271="Agree", 4, IF(G271="Strongly agree", 5, 0)))))</f>
        <v/>
      </c>
    </row>
    <row r="272" ht="28.8" customHeight="1">
      <c r="A272" s="5" t="n">
        <v>271</v>
      </c>
      <c r="B272" s="5" t="inlineStr">
        <is>
          <t>Young</t>
        </is>
      </c>
      <c r="C272" s="5" t="n">
        <v>2</v>
      </c>
      <c r="D272" s="5" t="inlineStr">
        <is>
          <t>Minnesota</t>
        </is>
      </c>
      <c r="E272" s="5" t="n">
        <v>1</v>
      </c>
      <c r="F272" s="5" t="n">
        <v>60924</v>
      </c>
      <c r="G272" s="5" t="inlineStr">
        <is>
          <t>Disagree</t>
        </is>
      </c>
      <c r="H272" s="5">
        <f>IF(C272=1, "Male", "Female")</f>
        <v/>
      </c>
      <c r="I272" s="5">
        <f>IF(E272=0, "No children", "At least one child")</f>
        <v/>
      </c>
      <c r="J272" s="5">
        <f>IF(F272&lt;40000, "Less than 40K", IF(F272&lt;=70000, "Between 40K and 70K", IF(F272&lt;=100000, "Between 70K and 100K", "Greater than 100K")))</f>
        <v/>
      </c>
      <c r="K272" s="5">
        <f>IF(G272="Strongly disagree", 1, IF(G272="Disagree", 2, IF(G272="Neutral", 3, IF(G272="Agree", 4, IF(G272="Strongly agree", 5, 0)))))</f>
        <v/>
      </c>
    </row>
    <row r="273" ht="28.8" customHeight="1">
      <c r="A273" s="5" t="n">
        <v>272</v>
      </c>
      <c r="B273" s="5" t="inlineStr">
        <is>
          <t>Young</t>
        </is>
      </c>
      <c r="C273" s="5" t="n">
        <v>2</v>
      </c>
      <c r="D273" s="5" t="inlineStr">
        <is>
          <t>Michigan</t>
        </is>
      </c>
      <c r="E273" s="5" t="n">
        <v>0</v>
      </c>
      <c r="F273" s="5" t="n">
        <v>50516</v>
      </c>
      <c r="G273" s="5" t="inlineStr">
        <is>
          <t>Strongly disagree</t>
        </is>
      </c>
      <c r="H273" s="5">
        <f>IF(C273=1, "Male", "Female")</f>
        <v/>
      </c>
      <c r="I273" s="5">
        <f>IF(E273=0, "No children", "At least one child")</f>
        <v/>
      </c>
      <c r="J273" s="5">
        <f>IF(F273&lt;40000, "Less than 40K", IF(F273&lt;=70000, "Between 40K and 70K", IF(F273&lt;=100000, "Between 70K and 100K", "Greater than 100K")))</f>
        <v/>
      </c>
      <c r="K273" s="5">
        <f>IF(G273="Strongly disagree", 1, IF(G273="Disagree", 2, IF(G273="Neutral", 3, IF(G273="Agree", 4, IF(G273="Strongly agree", 5, 0)))))</f>
        <v/>
      </c>
    </row>
    <row r="274" ht="28.8" customHeight="1">
      <c r="A274" s="5" t="n">
        <v>273</v>
      </c>
      <c r="B274" s="5" t="inlineStr">
        <is>
          <t>Elderly</t>
        </is>
      </c>
      <c r="C274" s="5" t="n">
        <v>2</v>
      </c>
      <c r="D274" s="5" t="inlineStr">
        <is>
          <t>Michigan</t>
        </is>
      </c>
      <c r="E274" s="5" t="n">
        <v>0</v>
      </c>
      <c r="F274" s="5" t="n">
        <v>84571</v>
      </c>
      <c r="G274" s="5" t="inlineStr">
        <is>
          <t>Agree</t>
        </is>
      </c>
      <c r="H274" s="5">
        <f>IF(C274=1, "Male", "Female")</f>
        <v/>
      </c>
      <c r="I274" s="5">
        <f>IF(E274=0, "No children", "At least one child")</f>
        <v/>
      </c>
      <c r="J274" s="5">
        <f>IF(F274&lt;40000, "Less than 40K", IF(F274&lt;=70000, "Between 40K and 70K", IF(F274&lt;=100000, "Between 70K and 100K", "Greater than 100K")))</f>
        <v/>
      </c>
      <c r="K274" s="5">
        <f>IF(G274="Strongly disagree", 1, IF(G274="Disagree", 2, IF(G274="Neutral", 3, IF(G274="Agree", 4, IF(G274="Strongly agree", 5, 0)))))</f>
        <v/>
      </c>
    </row>
    <row r="275" ht="28.8" customHeight="1">
      <c r="A275" s="5" t="n">
        <v>274</v>
      </c>
      <c r="B275" s="5" t="inlineStr">
        <is>
          <t>Middle-aged</t>
        </is>
      </c>
      <c r="C275" s="5" t="n">
        <v>2</v>
      </c>
      <c r="D275" s="5" t="inlineStr">
        <is>
          <t>Minnesota</t>
        </is>
      </c>
      <c r="E275" s="5" t="n">
        <v>2</v>
      </c>
      <c r="F275" s="5" t="n">
        <v>78090</v>
      </c>
      <c r="G275" s="5" t="inlineStr">
        <is>
          <t>Strongly agree</t>
        </is>
      </c>
      <c r="H275" s="5">
        <f>IF(C275=1, "Male", "Female")</f>
        <v/>
      </c>
      <c r="I275" s="5">
        <f>IF(E275=0, "No children", "At least one child")</f>
        <v/>
      </c>
      <c r="J275" s="5">
        <f>IF(F275&lt;40000, "Less than 40K", IF(F275&lt;=70000, "Between 40K and 70K", IF(F275&lt;=100000, "Between 70K and 100K", "Greater than 100K")))</f>
        <v/>
      </c>
      <c r="K275" s="5">
        <f>IF(G275="Strongly disagree", 1, IF(G275="Disagree", 2, IF(G275="Neutral", 3, IF(G275="Agree", 4, IF(G275="Strongly agree", 5, 0)))))</f>
        <v/>
      </c>
    </row>
    <row r="276" ht="28.8" customHeight="1">
      <c r="A276" s="5" t="n">
        <v>275</v>
      </c>
      <c r="B276" s="5" t="inlineStr">
        <is>
          <t>Middle-aged</t>
        </is>
      </c>
      <c r="C276" s="5" t="n">
        <v>2</v>
      </c>
      <c r="D276" s="5" t="inlineStr">
        <is>
          <t>Florida</t>
        </is>
      </c>
      <c r="E276" s="5" t="n">
        <v>2</v>
      </c>
      <c r="F276" s="5" t="n">
        <v>90190</v>
      </c>
      <c r="G276" s="5" t="inlineStr">
        <is>
          <t>Neutral</t>
        </is>
      </c>
      <c r="H276" s="5">
        <f>IF(C276=1, "Male", "Female")</f>
        <v/>
      </c>
      <c r="I276" s="5">
        <f>IF(E276=0, "No children", "At least one child")</f>
        <v/>
      </c>
      <c r="J276" s="5">
        <f>IF(F276&lt;40000, "Less than 40K", IF(F276&lt;=70000, "Between 40K and 70K", IF(F276&lt;=100000, "Between 70K and 100K", "Greater than 100K")))</f>
        <v/>
      </c>
      <c r="K276" s="5">
        <f>IF(G276="Strongly disagree", 1, IF(G276="Disagree", 2, IF(G276="Neutral", 3, IF(G276="Agree", 4, IF(G276="Strongly agree", 5, 0)))))</f>
        <v/>
      </c>
    </row>
    <row r="277" ht="28.8" customHeight="1">
      <c r="A277" s="5" t="n">
        <v>276</v>
      </c>
      <c r="B277" s="5" t="inlineStr">
        <is>
          <t>Middle-aged</t>
        </is>
      </c>
      <c r="C277" s="5" t="n">
        <v>2</v>
      </c>
      <c r="D277" s="5" t="inlineStr">
        <is>
          <t>Virginia</t>
        </is>
      </c>
      <c r="E277" s="5" t="n">
        <v>0</v>
      </c>
      <c r="F277" s="5" t="n">
        <v>45516</v>
      </c>
      <c r="G277" s="5" t="inlineStr">
        <is>
          <t>Neutral</t>
        </is>
      </c>
      <c r="H277" s="5">
        <f>IF(C277=1, "Male", "Female")</f>
        <v/>
      </c>
      <c r="I277" s="5">
        <f>IF(E277=0, "No children", "At least one child")</f>
        <v/>
      </c>
      <c r="J277" s="5">
        <f>IF(F277&lt;40000, "Less than 40K", IF(F277&lt;=70000, "Between 40K and 70K", IF(F277&lt;=100000, "Between 70K and 100K", "Greater than 100K")))</f>
        <v/>
      </c>
      <c r="K277" s="5">
        <f>IF(G277="Strongly disagree", 1, IF(G277="Disagree", 2, IF(G277="Neutral", 3, IF(G277="Agree", 4, IF(G277="Strongly agree", 5, 0)))))</f>
        <v/>
      </c>
    </row>
    <row r="278">
      <c r="A278" s="5" t="n">
        <v>277</v>
      </c>
      <c r="B278" s="5" t="inlineStr">
        <is>
          <t>Young</t>
        </is>
      </c>
      <c r="C278" s="5" t="n">
        <v>2</v>
      </c>
      <c r="D278" s="5" t="inlineStr">
        <is>
          <t>Ohio</t>
        </is>
      </c>
      <c r="E278" s="5" t="n">
        <v>2</v>
      </c>
      <c r="F278" s="5" t="n">
        <v>23657</v>
      </c>
      <c r="G278" s="5" t="inlineStr">
        <is>
          <t>Strongly agree</t>
        </is>
      </c>
      <c r="H278" s="5">
        <f>IF(C278=1, "Male", "Female")</f>
        <v/>
      </c>
      <c r="I278" s="5">
        <f>IF(E278=0, "No children", "At least one child")</f>
        <v/>
      </c>
      <c r="J278" s="5">
        <f>IF(F278&lt;40000, "Less than 40K", IF(F278&lt;=70000, "Between 40K and 70K", IF(F278&lt;=100000, "Between 70K and 100K", "Greater than 100K")))</f>
        <v/>
      </c>
      <c r="K278" s="5">
        <f>IF(G278="Strongly disagree", 1, IF(G278="Disagree", 2, IF(G278="Neutral", 3, IF(G278="Agree", 4, IF(G278="Strongly agree", 5, 0)))))</f>
        <v/>
      </c>
    </row>
    <row r="279" ht="28.8" customHeight="1">
      <c r="A279" s="5" t="n">
        <v>278</v>
      </c>
      <c r="B279" s="5" t="inlineStr">
        <is>
          <t>Young</t>
        </is>
      </c>
      <c r="C279" s="5" t="n">
        <v>2</v>
      </c>
      <c r="D279" s="5" t="inlineStr">
        <is>
          <t>New York</t>
        </is>
      </c>
      <c r="E279" s="5" t="n">
        <v>3</v>
      </c>
      <c r="F279" s="5" t="n">
        <v>45022</v>
      </c>
      <c r="G279" s="5" t="inlineStr">
        <is>
          <t>Strongly agree</t>
        </is>
      </c>
      <c r="H279" s="5">
        <f>IF(C279=1, "Male", "Female")</f>
        <v/>
      </c>
      <c r="I279" s="5">
        <f>IF(E279=0, "No children", "At least one child")</f>
        <v/>
      </c>
      <c r="J279" s="5">
        <f>IF(F279&lt;40000, "Less than 40K", IF(F279&lt;=70000, "Between 40K and 70K", IF(F279&lt;=100000, "Between 70K and 100K", "Greater than 100K")))</f>
        <v/>
      </c>
      <c r="K279" s="5">
        <f>IF(G279="Strongly disagree", 1, IF(G279="Disagree", 2, IF(G279="Neutral", 3, IF(G279="Agree", 4, IF(G279="Strongly agree", 5, 0)))))</f>
        <v/>
      </c>
    </row>
    <row r="280" ht="28.8" customHeight="1">
      <c r="A280" s="5" t="n">
        <v>279</v>
      </c>
      <c r="B280" s="5" t="inlineStr">
        <is>
          <t>Middle-aged</t>
        </is>
      </c>
      <c r="C280" s="5" t="n">
        <v>2</v>
      </c>
      <c r="D280" s="5" t="inlineStr">
        <is>
          <t>Florida</t>
        </is>
      </c>
      <c r="E280" s="5" t="n">
        <v>2</v>
      </c>
      <c r="F280" s="5" t="n">
        <v>109270</v>
      </c>
      <c r="G280" s="5" t="inlineStr">
        <is>
          <t>Agree</t>
        </is>
      </c>
      <c r="H280" s="5">
        <f>IF(C280=1, "Male", "Female")</f>
        <v/>
      </c>
      <c r="I280" s="5">
        <f>IF(E280=0, "No children", "At least one child")</f>
        <v/>
      </c>
      <c r="J280" s="5">
        <f>IF(F280&lt;40000, "Less than 40K", IF(F280&lt;=70000, "Between 40K and 70K", IF(F280&lt;=100000, "Between 70K and 100K", "Greater than 100K")))</f>
        <v/>
      </c>
      <c r="K280" s="5">
        <f>IF(G280="Strongly disagree", 1, IF(G280="Disagree", 2, IF(G280="Neutral", 3, IF(G280="Agree", 4, IF(G280="Strongly agree", 5, 0)))))</f>
        <v/>
      </c>
    </row>
    <row r="281" ht="28.8" customHeight="1">
      <c r="A281" s="5" t="n">
        <v>280</v>
      </c>
      <c r="B281" s="5" t="inlineStr">
        <is>
          <t>Elderly</t>
        </is>
      </c>
      <c r="C281" s="5" t="n">
        <v>1</v>
      </c>
      <c r="D281" s="5" t="inlineStr">
        <is>
          <t>Texas</t>
        </is>
      </c>
      <c r="E281" s="5" t="n">
        <v>3</v>
      </c>
      <c r="F281" s="5" t="n">
        <v>95962</v>
      </c>
      <c r="G281" s="5" t="inlineStr">
        <is>
          <t>Neutral</t>
        </is>
      </c>
      <c r="H281" s="5">
        <f>IF(C281=1, "Male", "Female")</f>
        <v/>
      </c>
      <c r="I281" s="5">
        <f>IF(E281=0, "No children", "At least one child")</f>
        <v/>
      </c>
      <c r="J281" s="5">
        <f>IF(F281&lt;40000, "Less than 40K", IF(F281&lt;=70000, "Between 40K and 70K", IF(F281&lt;=100000, "Between 70K and 100K", "Greater than 100K")))</f>
        <v/>
      </c>
      <c r="K281" s="5">
        <f>IF(G281="Strongly disagree", 1, IF(G281="Disagree", 2, IF(G281="Neutral", 3, IF(G281="Agree", 4, IF(G281="Strongly agree", 5, 0)))))</f>
        <v/>
      </c>
    </row>
    <row r="282" ht="28.8" customHeight="1">
      <c r="A282" s="5" t="n">
        <v>281</v>
      </c>
      <c r="B282" s="5" t="inlineStr">
        <is>
          <t>Middle-aged</t>
        </is>
      </c>
      <c r="C282" s="5" t="n">
        <v>2</v>
      </c>
      <c r="D282" s="5" t="inlineStr">
        <is>
          <t>Michigan</t>
        </is>
      </c>
      <c r="E282" s="5" t="n">
        <v>1</v>
      </c>
      <c r="F282" s="5" t="n">
        <v>94339</v>
      </c>
      <c r="G282" s="5" t="inlineStr">
        <is>
          <t>Neutral</t>
        </is>
      </c>
      <c r="H282" s="5">
        <f>IF(C282=1, "Male", "Female")</f>
        <v/>
      </c>
      <c r="I282" s="5">
        <f>IF(E282=0, "No children", "At least one child")</f>
        <v/>
      </c>
      <c r="J282" s="5">
        <f>IF(F282&lt;40000, "Less than 40K", IF(F282&lt;=70000, "Between 40K and 70K", IF(F282&lt;=100000, "Between 70K and 100K", "Greater than 100K")))</f>
        <v/>
      </c>
      <c r="K282" s="5">
        <f>IF(G282="Strongly disagree", 1, IF(G282="Disagree", 2, IF(G282="Neutral", 3, IF(G282="Agree", 4, IF(G282="Strongly agree", 5, 0)))))</f>
        <v/>
      </c>
    </row>
    <row r="283" ht="28.8" customHeight="1">
      <c r="A283" s="5" t="n">
        <v>282</v>
      </c>
      <c r="B283" s="5" t="inlineStr">
        <is>
          <t>Elderly</t>
        </is>
      </c>
      <c r="C283" s="5" t="n">
        <v>1</v>
      </c>
      <c r="D283" s="5" t="inlineStr">
        <is>
          <t>Illinois</t>
        </is>
      </c>
      <c r="E283" s="5" t="n">
        <v>0</v>
      </c>
      <c r="F283" s="5" t="n">
        <v>83768</v>
      </c>
      <c r="G283" s="5" t="inlineStr">
        <is>
          <t>Agree</t>
        </is>
      </c>
      <c r="H283" s="5">
        <f>IF(C283=1, "Male", "Female")</f>
        <v/>
      </c>
      <c r="I283" s="5">
        <f>IF(E283=0, "No children", "At least one child")</f>
        <v/>
      </c>
      <c r="J283" s="5">
        <f>IF(F283&lt;40000, "Less than 40K", IF(F283&lt;=70000, "Between 40K and 70K", IF(F283&lt;=100000, "Between 70K and 100K", "Greater than 100K")))</f>
        <v/>
      </c>
      <c r="K283" s="5">
        <f>IF(G283="Strongly disagree", 1, IF(G283="Disagree", 2, IF(G283="Neutral", 3, IF(G283="Agree", 4, IF(G283="Strongly agree", 5, 0)))))</f>
        <v/>
      </c>
    </row>
    <row r="284" ht="28.8" customHeight="1">
      <c r="A284" s="5" t="n">
        <v>283</v>
      </c>
      <c r="B284" s="5" t="inlineStr">
        <is>
          <t>Elderly</t>
        </is>
      </c>
      <c r="C284" s="5" t="n">
        <v>2</v>
      </c>
      <c r="D284" s="5" t="inlineStr">
        <is>
          <t>Ohio</t>
        </is>
      </c>
      <c r="E284" s="5" t="n">
        <v>1</v>
      </c>
      <c r="F284" s="5" t="n">
        <v>68783</v>
      </c>
      <c r="G284" s="5" t="inlineStr">
        <is>
          <t>Disagree</t>
        </is>
      </c>
      <c r="H284" s="5">
        <f>IF(C284=1, "Male", "Female")</f>
        <v/>
      </c>
      <c r="I284" s="5">
        <f>IF(E284=0, "No children", "At least one child")</f>
        <v/>
      </c>
      <c r="J284" s="5">
        <f>IF(F284&lt;40000, "Less than 40K", IF(F284&lt;=70000, "Between 40K and 70K", IF(F284&lt;=100000, "Between 70K and 100K", "Greater than 100K")))</f>
        <v/>
      </c>
      <c r="K284" s="5">
        <f>IF(G284="Strongly disagree", 1, IF(G284="Disagree", 2, IF(G284="Neutral", 3, IF(G284="Agree", 4, IF(G284="Strongly agree", 5, 0)))))</f>
        <v/>
      </c>
    </row>
    <row r="285" ht="28.8" customHeight="1">
      <c r="A285" s="5" t="n">
        <v>284</v>
      </c>
      <c r="B285" s="5" t="inlineStr">
        <is>
          <t>Elderly</t>
        </is>
      </c>
      <c r="C285" s="5" t="n">
        <v>2</v>
      </c>
      <c r="D285" s="5" t="inlineStr">
        <is>
          <t>Ohio</t>
        </is>
      </c>
      <c r="E285" s="5" t="n">
        <v>0</v>
      </c>
      <c r="F285" s="5" t="n">
        <v>75011</v>
      </c>
      <c r="G285" s="5" t="inlineStr">
        <is>
          <t>Disagree</t>
        </is>
      </c>
      <c r="H285" s="5">
        <f>IF(C285=1, "Male", "Female")</f>
        <v/>
      </c>
      <c r="I285" s="5">
        <f>IF(E285=0, "No children", "At least one child")</f>
        <v/>
      </c>
      <c r="J285" s="5">
        <f>IF(F285&lt;40000, "Less than 40K", IF(F285&lt;=70000, "Between 40K and 70K", IF(F285&lt;=100000, "Between 70K and 100K", "Greater than 100K")))</f>
        <v/>
      </c>
      <c r="K285" s="5">
        <f>IF(G285="Strongly disagree", 1, IF(G285="Disagree", 2, IF(G285="Neutral", 3, IF(G285="Agree", 4, IF(G285="Strongly agree", 5, 0)))))</f>
        <v/>
      </c>
    </row>
    <row r="286" ht="28.8" customHeight="1">
      <c r="A286" s="5" t="n">
        <v>285</v>
      </c>
      <c r="B286" s="5" t="inlineStr">
        <is>
          <t>Middle-aged</t>
        </is>
      </c>
      <c r="C286" s="5" t="n">
        <v>1</v>
      </c>
      <c r="D286" s="5" t="inlineStr">
        <is>
          <t>New York</t>
        </is>
      </c>
      <c r="E286" s="5" t="n">
        <v>2</v>
      </c>
      <c r="F286" s="5" t="n">
        <v>110140</v>
      </c>
      <c r="G286" s="5" t="inlineStr">
        <is>
          <t>Agree</t>
        </is>
      </c>
      <c r="H286" s="5">
        <f>IF(C286=1, "Male", "Female")</f>
        <v/>
      </c>
      <c r="I286" s="5">
        <f>IF(E286=0, "No children", "At least one child")</f>
        <v/>
      </c>
      <c r="J286" s="5">
        <f>IF(F286&lt;40000, "Less than 40K", IF(F286&lt;=70000, "Between 40K and 70K", IF(F286&lt;=100000, "Between 70K and 100K", "Greater than 100K")))</f>
        <v/>
      </c>
      <c r="K286" s="5">
        <f>IF(G286="Strongly disagree", 1, IF(G286="Disagree", 2, IF(G286="Neutral", 3, IF(G286="Agree", 4, IF(G286="Strongly agree", 5, 0)))))</f>
        <v/>
      </c>
    </row>
    <row r="287" ht="28.8" customHeight="1">
      <c r="A287" s="5" t="n">
        <v>286</v>
      </c>
      <c r="B287" s="5" t="inlineStr">
        <is>
          <t>Middle-aged</t>
        </is>
      </c>
      <c r="C287" s="5" t="n">
        <v>2</v>
      </c>
      <c r="D287" s="5" t="inlineStr">
        <is>
          <t>New York</t>
        </is>
      </c>
      <c r="E287" s="5" t="n">
        <v>0</v>
      </c>
      <c r="F287" s="5" t="n">
        <v>122617</v>
      </c>
      <c r="G287" s="5" t="inlineStr">
        <is>
          <t>Strongly disagree</t>
        </is>
      </c>
      <c r="H287" s="5">
        <f>IF(C287=1, "Male", "Female")</f>
        <v/>
      </c>
      <c r="I287" s="5">
        <f>IF(E287=0, "No children", "At least one child")</f>
        <v/>
      </c>
      <c r="J287" s="5">
        <f>IF(F287&lt;40000, "Less than 40K", IF(F287&lt;=70000, "Between 40K and 70K", IF(F287&lt;=100000, "Between 70K and 100K", "Greater than 100K")))</f>
        <v/>
      </c>
      <c r="K287" s="5">
        <f>IF(G287="Strongly disagree", 1, IF(G287="Disagree", 2, IF(G287="Neutral", 3, IF(G287="Agree", 4, IF(G287="Strongly agree", 5, 0)))))</f>
        <v/>
      </c>
    </row>
    <row r="288" ht="28.8" customHeight="1">
      <c r="A288" s="5" t="n">
        <v>287</v>
      </c>
      <c r="B288" s="5" t="inlineStr">
        <is>
          <t>Middle-aged</t>
        </is>
      </c>
      <c r="C288" s="5" t="n">
        <v>2</v>
      </c>
      <c r="D288" s="5" t="inlineStr">
        <is>
          <t>Texas</t>
        </is>
      </c>
      <c r="E288" s="5" t="n">
        <v>1</v>
      </c>
      <c r="F288" s="5" t="n">
        <v>91557</v>
      </c>
      <c r="G288" s="5" t="inlineStr">
        <is>
          <t>Strongly disagree</t>
        </is>
      </c>
      <c r="H288" s="5">
        <f>IF(C288=1, "Male", "Female")</f>
        <v/>
      </c>
      <c r="I288" s="5">
        <f>IF(E288=0, "No children", "At least one child")</f>
        <v/>
      </c>
      <c r="J288" s="5">
        <f>IF(F288&lt;40000, "Less than 40K", IF(F288&lt;=70000, "Between 40K and 70K", IF(F288&lt;=100000, "Between 70K and 100K", "Greater than 100K")))</f>
        <v/>
      </c>
      <c r="K288" s="5">
        <f>IF(G288="Strongly disagree", 1, IF(G288="Disagree", 2, IF(G288="Neutral", 3, IF(G288="Agree", 4, IF(G288="Strongly agree", 5, 0)))))</f>
        <v/>
      </c>
    </row>
    <row r="289" ht="28.8" customHeight="1">
      <c r="A289" s="5" t="n">
        <v>288</v>
      </c>
      <c r="B289" s="5" t="inlineStr">
        <is>
          <t>Middle-aged</t>
        </is>
      </c>
      <c r="C289" s="5" t="n">
        <v>1</v>
      </c>
      <c r="D289" s="5" t="inlineStr">
        <is>
          <t>Ohio</t>
        </is>
      </c>
      <c r="E289" s="5" t="n">
        <v>2</v>
      </c>
      <c r="F289" s="5" t="n">
        <v>75359</v>
      </c>
      <c r="G289" s="5" t="inlineStr">
        <is>
          <t>Agree</t>
        </is>
      </c>
      <c r="H289" s="5">
        <f>IF(C289=1, "Male", "Female")</f>
        <v/>
      </c>
      <c r="I289" s="5">
        <f>IF(E289=0, "No children", "At least one child")</f>
        <v/>
      </c>
      <c r="J289" s="5">
        <f>IF(F289&lt;40000, "Less than 40K", IF(F289&lt;=70000, "Between 40K and 70K", IF(F289&lt;=100000, "Between 70K and 100K", "Greater than 100K")))</f>
        <v/>
      </c>
      <c r="K289" s="5">
        <f>IF(G289="Strongly disagree", 1, IF(G289="Disagree", 2, IF(G289="Neutral", 3, IF(G289="Agree", 4, IF(G289="Strongly agree", 5, 0)))))</f>
        <v/>
      </c>
    </row>
    <row r="290" ht="28.8" customHeight="1">
      <c r="A290" s="5" t="n">
        <v>289</v>
      </c>
      <c r="B290" s="5" t="inlineStr">
        <is>
          <t>Middle-aged</t>
        </is>
      </c>
      <c r="C290" s="5" t="n">
        <v>2</v>
      </c>
      <c r="D290" s="5" t="inlineStr">
        <is>
          <t>Ohio</t>
        </is>
      </c>
      <c r="E290" s="5" t="n">
        <v>0</v>
      </c>
      <c r="F290" s="5" t="n">
        <v>76219</v>
      </c>
      <c r="G290" s="5" t="inlineStr">
        <is>
          <t>Strongly disagree</t>
        </is>
      </c>
      <c r="H290" s="5">
        <f>IF(C290=1, "Male", "Female")</f>
        <v/>
      </c>
      <c r="I290" s="5">
        <f>IF(E290=0, "No children", "At least one child")</f>
        <v/>
      </c>
      <c r="J290" s="5">
        <f>IF(F290&lt;40000, "Less than 40K", IF(F290&lt;=70000, "Between 40K and 70K", IF(F290&lt;=100000, "Between 70K and 100K", "Greater than 100K")))</f>
        <v/>
      </c>
      <c r="K290" s="5">
        <f>IF(G290="Strongly disagree", 1, IF(G290="Disagree", 2, IF(G290="Neutral", 3, IF(G290="Agree", 4, IF(G290="Strongly agree", 5, 0)))))</f>
        <v/>
      </c>
    </row>
    <row r="291" ht="28.8" customHeight="1">
      <c r="A291" s="5" t="n">
        <v>290</v>
      </c>
      <c r="B291" s="5" t="inlineStr">
        <is>
          <t>Elderly</t>
        </is>
      </c>
      <c r="C291" s="5" t="n">
        <v>1</v>
      </c>
      <c r="D291" s="5" t="inlineStr">
        <is>
          <t>Michigan</t>
        </is>
      </c>
      <c r="E291" s="5" t="n">
        <v>0</v>
      </c>
      <c r="F291" s="5" t="n">
        <v>84038</v>
      </c>
      <c r="G291" s="5" t="inlineStr">
        <is>
          <t>Neutral</t>
        </is>
      </c>
      <c r="H291" s="5">
        <f>IF(C291=1, "Male", "Female")</f>
        <v/>
      </c>
      <c r="I291" s="5">
        <f>IF(E291=0, "No children", "At least one child")</f>
        <v/>
      </c>
      <c r="J291" s="5">
        <f>IF(F291&lt;40000, "Less than 40K", IF(F291&lt;=70000, "Between 40K and 70K", IF(F291&lt;=100000, "Between 70K and 100K", "Greater than 100K")))</f>
        <v/>
      </c>
      <c r="K291" s="5">
        <f>IF(G291="Strongly disagree", 1, IF(G291="Disagree", 2, IF(G291="Neutral", 3, IF(G291="Agree", 4, IF(G291="Strongly agree", 5, 0)))))</f>
        <v/>
      </c>
    </row>
    <row r="292" ht="28.8" customHeight="1">
      <c r="A292" s="5" t="n">
        <v>291</v>
      </c>
      <c r="B292" s="5" t="inlineStr">
        <is>
          <t>Middle-aged</t>
        </is>
      </c>
      <c r="C292" s="5" t="n">
        <v>2</v>
      </c>
      <c r="D292" s="5" t="inlineStr">
        <is>
          <t>Ohio</t>
        </is>
      </c>
      <c r="E292" s="5" t="n">
        <v>0</v>
      </c>
      <c r="F292" s="5" t="n">
        <v>84454</v>
      </c>
      <c r="G292" s="5" t="inlineStr">
        <is>
          <t>Agree</t>
        </is>
      </c>
      <c r="H292" s="5">
        <f>IF(C292=1, "Male", "Female")</f>
        <v/>
      </c>
      <c r="I292" s="5">
        <f>IF(E292=0, "No children", "At least one child")</f>
        <v/>
      </c>
      <c r="J292" s="5">
        <f>IF(F292&lt;40000, "Less than 40K", IF(F292&lt;=70000, "Between 40K and 70K", IF(F292&lt;=100000, "Between 70K and 100K", "Greater than 100K")))</f>
        <v/>
      </c>
      <c r="K292" s="5">
        <f>IF(G292="Strongly disagree", 1, IF(G292="Disagree", 2, IF(G292="Neutral", 3, IF(G292="Agree", 4, IF(G292="Strongly agree", 5, 0)))))</f>
        <v/>
      </c>
    </row>
    <row r="293" ht="28.8" customHeight="1">
      <c r="A293" s="5" t="n">
        <v>292</v>
      </c>
      <c r="B293" s="5" t="inlineStr">
        <is>
          <t>Elderly</t>
        </is>
      </c>
      <c r="C293" s="5" t="n">
        <v>2</v>
      </c>
      <c r="D293" s="5" t="inlineStr">
        <is>
          <t>Michigan</t>
        </is>
      </c>
      <c r="E293" s="5" t="n">
        <v>0</v>
      </c>
      <c r="F293" s="5" t="n">
        <v>74623</v>
      </c>
      <c r="G293" s="5" t="inlineStr">
        <is>
          <t>Strongly disagree</t>
        </is>
      </c>
      <c r="H293" s="5">
        <f>IF(C293=1, "Male", "Female")</f>
        <v/>
      </c>
      <c r="I293" s="5">
        <f>IF(E293=0, "No children", "At least one child")</f>
        <v/>
      </c>
      <c r="J293" s="5">
        <f>IF(F293&lt;40000, "Less than 40K", IF(F293&lt;=70000, "Between 40K and 70K", IF(F293&lt;=100000, "Between 70K and 100K", "Greater than 100K")))</f>
        <v/>
      </c>
      <c r="K293" s="5">
        <f>IF(G293="Strongly disagree", 1, IF(G293="Disagree", 2, IF(G293="Neutral", 3, IF(G293="Agree", 4, IF(G293="Strongly agree", 5, 0)))))</f>
        <v/>
      </c>
    </row>
    <row r="294" ht="28.8" customHeight="1">
      <c r="A294" s="5" t="n">
        <v>293</v>
      </c>
      <c r="B294" s="5" t="inlineStr">
        <is>
          <t>Young</t>
        </is>
      </c>
      <c r="C294" s="5" t="n">
        <v>2</v>
      </c>
      <c r="D294" s="5" t="inlineStr">
        <is>
          <t>Michigan</t>
        </is>
      </c>
      <c r="E294" s="5" t="n">
        <v>2</v>
      </c>
      <c r="F294" s="5" t="n">
        <v>58544</v>
      </c>
      <c r="G294" s="5" t="inlineStr">
        <is>
          <t>Strongly agree</t>
        </is>
      </c>
      <c r="H294" s="5">
        <f>IF(C294=1, "Male", "Female")</f>
        <v/>
      </c>
      <c r="I294" s="5">
        <f>IF(E294=0, "No children", "At least one child")</f>
        <v/>
      </c>
      <c r="J294" s="5">
        <f>IF(F294&lt;40000, "Less than 40K", IF(F294&lt;=70000, "Between 40K and 70K", IF(F294&lt;=100000, "Between 70K and 100K", "Greater than 100K")))</f>
        <v/>
      </c>
      <c r="K294" s="5">
        <f>IF(G294="Strongly disagree", 1, IF(G294="Disagree", 2, IF(G294="Neutral", 3, IF(G294="Agree", 4, IF(G294="Strongly agree", 5, 0)))))</f>
        <v/>
      </c>
    </row>
    <row r="295" ht="28.8" customHeight="1">
      <c r="A295" s="5" t="n">
        <v>294</v>
      </c>
      <c r="B295" s="5" t="inlineStr">
        <is>
          <t>Elderly</t>
        </is>
      </c>
      <c r="C295" s="5" t="n">
        <v>2</v>
      </c>
      <c r="D295" s="5" t="inlineStr">
        <is>
          <t>California</t>
        </is>
      </c>
      <c r="E295" s="5" t="n">
        <v>2</v>
      </c>
      <c r="F295" s="5" t="n">
        <v>59906</v>
      </c>
      <c r="G295" s="5" t="inlineStr">
        <is>
          <t>Disagree</t>
        </is>
      </c>
      <c r="H295" s="5">
        <f>IF(C295=1, "Male", "Female")</f>
        <v/>
      </c>
      <c r="I295" s="5">
        <f>IF(E295=0, "No children", "At least one child")</f>
        <v/>
      </c>
      <c r="J295" s="5">
        <f>IF(F295&lt;40000, "Less than 40K", IF(F295&lt;=70000, "Between 40K and 70K", IF(F295&lt;=100000, "Between 70K and 100K", "Greater than 100K")))</f>
        <v/>
      </c>
      <c r="K295" s="5">
        <f>IF(G295="Strongly disagree", 1, IF(G295="Disagree", 2, IF(G295="Neutral", 3, IF(G295="Agree", 4, IF(G295="Strongly agree", 5, 0)))))</f>
        <v/>
      </c>
    </row>
    <row r="296">
      <c r="A296" s="5" t="n">
        <v>295</v>
      </c>
      <c r="B296" s="5" t="inlineStr">
        <is>
          <t>Young</t>
        </is>
      </c>
      <c r="C296" s="5" t="n">
        <v>2</v>
      </c>
      <c r="D296" s="5" t="inlineStr">
        <is>
          <t>Florida</t>
        </is>
      </c>
      <c r="E296" s="5" t="n">
        <v>2</v>
      </c>
      <c r="F296" s="5" t="n">
        <v>38514</v>
      </c>
      <c r="G296" s="5" t="inlineStr">
        <is>
          <t>Strongly disagree</t>
        </is>
      </c>
      <c r="H296" s="5">
        <f>IF(C296=1, "Male", "Female")</f>
        <v/>
      </c>
      <c r="I296" s="5">
        <f>IF(E296=0, "No children", "At least one child")</f>
        <v/>
      </c>
      <c r="J296" s="5">
        <f>IF(F296&lt;40000, "Less than 40K", IF(F296&lt;=70000, "Between 40K and 70K", IF(F296&lt;=100000, "Between 70K and 100K", "Greater than 100K")))</f>
        <v/>
      </c>
      <c r="K296" s="5">
        <f>IF(G296="Strongly disagree", 1, IF(G296="Disagree", 2, IF(G296="Neutral", 3, IF(G296="Agree", 4, IF(G296="Strongly agree", 5, 0)))))</f>
        <v/>
      </c>
    </row>
    <row r="297" ht="28.8" customHeight="1">
      <c r="A297" s="5" t="n">
        <v>296</v>
      </c>
      <c r="B297" s="5" t="inlineStr">
        <is>
          <t>Middle-aged</t>
        </is>
      </c>
      <c r="C297" s="5" t="n">
        <v>2</v>
      </c>
      <c r="D297" s="5" t="inlineStr">
        <is>
          <t>Illinois</t>
        </is>
      </c>
      <c r="E297" s="5" t="n">
        <v>0</v>
      </c>
      <c r="F297" s="5" t="n">
        <v>83326</v>
      </c>
      <c r="G297" s="5" t="inlineStr">
        <is>
          <t>Disagree</t>
        </is>
      </c>
      <c r="H297" s="5">
        <f>IF(C297=1, "Male", "Female")</f>
        <v/>
      </c>
      <c r="I297" s="5">
        <f>IF(E297=0, "No children", "At least one child")</f>
        <v/>
      </c>
      <c r="J297" s="5">
        <f>IF(F297&lt;40000, "Less than 40K", IF(F297&lt;=70000, "Between 40K and 70K", IF(F297&lt;=100000, "Between 70K and 100K", "Greater than 100K")))</f>
        <v/>
      </c>
      <c r="K297" s="5">
        <f>IF(G297="Strongly disagree", 1, IF(G297="Disagree", 2, IF(G297="Neutral", 3, IF(G297="Agree", 4, IF(G297="Strongly agree", 5, 0)))))</f>
        <v/>
      </c>
    </row>
    <row r="298" ht="28.8" customHeight="1">
      <c r="A298" s="5" t="n">
        <v>297</v>
      </c>
      <c r="B298" s="5" t="inlineStr">
        <is>
          <t>Elderly</t>
        </is>
      </c>
      <c r="C298" s="5" t="n">
        <v>1</v>
      </c>
      <c r="D298" s="5" t="inlineStr">
        <is>
          <t>Illinois</t>
        </is>
      </c>
      <c r="E298" s="5" t="n">
        <v>3</v>
      </c>
      <c r="F298" s="5" t="n">
        <v>72085</v>
      </c>
      <c r="G298" s="5" t="inlineStr">
        <is>
          <t>Strongly disagree</t>
        </is>
      </c>
      <c r="H298" s="5">
        <f>IF(C298=1, "Male", "Female")</f>
        <v/>
      </c>
      <c r="I298" s="5">
        <f>IF(E298=0, "No children", "At least one child")</f>
        <v/>
      </c>
      <c r="J298" s="5">
        <f>IF(F298&lt;40000, "Less than 40K", IF(F298&lt;=70000, "Between 40K and 70K", IF(F298&lt;=100000, "Between 70K and 100K", "Greater than 100K")))</f>
        <v/>
      </c>
      <c r="K298" s="5">
        <f>IF(G298="Strongly disagree", 1, IF(G298="Disagree", 2, IF(G298="Neutral", 3, IF(G298="Agree", 4, IF(G298="Strongly agree", 5, 0)))))</f>
        <v/>
      </c>
    </row>
    <row r="299" ht="28.8" customHeight="1">
      <c r="A299" s="5" t="n">
        <v>298</v>
      </c>
      <c r="B299" s="5" t="inlineStr">
        <is>
          <t>Elderly</t>
        </is>
      </c>
      <c r="C299" s="5" t="n">
        <v>1</v>
      </c>
      <c r="D299" s="5" t="inlineStr">
        <is>
          <t>Florida</t>
        </is>
      </c>
      <c r="E299" s="5" t="n">
        <v>1</v>
      </c>
      <c r="F299" s="5" t="n">
        <v>73618</v>
      </c>
      <c r="G299" s="5" t="inlineStr">
        <is>
          <t>Disagree</t>
        </is>
      </c>
      <c r="H299" s="5">
        <f>IF(C299=1, "Male", "Female")</f>
        <v/>
      </c>
      <c r="I299" s="5">
        <f>IF(E299=0, "No children", "At least one child")</f>
        <v/>
      </c>
      <c r="J299" s="5">
        <f>IF(F299&lt;40000, "Less than 40K", IF(F299&lt;=70000, "Between 40K and 70K", IF(F299&lt;=100000, "Between 70K and 100K", "Greater than 100K")))</f>
        <v/>
      </c>
      <c r="K299" s="5">
        <f>IF(G299="Strongly disagree", 1, IF(G299="Disagree", 2, IF(G299="Neutral", 3, IF(G299="Agree", 4, IF(G299="Strongly agree", 5, 0)))))</f>
        <v/>
      </c>
    </row>
    <row r="300" ht="28.8" customHeight="1">
      <c r="A300" s="5" t="n">
        <v>299</v>
      </c>
      <c r="B300" s="5" t="inlineStr">
        <is>
          <t>Middle-aged</t>
        </is>
      </c>
      <c r="C300" s="5" t="n">
        <v>2</v>
      </c>
      <c r="D300" s="5" t="inlineStr">
        <is>
          <t>Texas</t>
        </is>
      </c>
      <c r="E300" s="5" t="n">
        <v>1</v>
      </c>
      <c r="F300" s="5" t="n">
        <v>101325</v>
      </c>
      <c r="G300" s="5" t="inlineStr">
        <is>
          <t>Strongly agree</t>
        </is>
      </c>
      <c r="H300" s="5">
        <f>IF(C300=1, "Male", "Female")</f>
        <v/>
      </c>
      <c r="I300" s="5">
        <f>IF(E300=0, "No children", "At least one child")</f>
        <v/>
      </c>
      <c r="J300" s="5">
        <f>IF(F300&lt;40000, "Less than 40K", IF(F300&lt;=70000, "Between 40K and 70K", IF(F300&lt;=100000, "Between 70K and 100K", "Greater than 100K")))</f>
        <v/>
      </c>
      <c r="K300" s="5">
        <f>IF(G300="Strongly disagree", 1, IF(G300="Disagree", 2, IF(G300="Neutral", 3, IF(G300="Agree", 4, IF(G300="Strongly agree", 5, 0)))))</f>
        <v/>
      </c>
    </row>
    <row r="301" ht="28.8" customHeight="1">
      <c r="A301" s="5" t="n">
        <v>300</v>
      </c>
      <c r="B301" s="5" t="inlineStr">
        <is>
          <t>Middle-aged</t>
        </is>
      </c>
      <c r="C301" s="5" t="n">
        <v>1</v>
      </c>
      <c r="D301" s="5" t="inlineStr">
        <is>
          <t>Ohio</t>
        </is>
      </c>
      <c r="E301" s="5" t="n">
        <v>0</v>
      </c>
      <c r="F301" s="5" t="n">
        <v>73823</v>
      </c>
      <c r="G301" s="5" t="inlineStr">
        <is>
          <t>Strongly disagree</t>
        </is>
      </c>
      <c r="H301" s="5">
        <f>IF(C301=1, "Male", "Female")</f>
        <v/>
      </c>
      <c r="I301" s="5">
        <f>IF(E301=0, "No children", "At least one child")</f>
        <v/>
      </c>
      <c r="J301" s="5">
        <f>IF(F301&lt;40000, "Less than 40K", IF(F301&lt;=70000, "Between 40K and 70K", IF(F301&lt;=100000, "Between 70K and 100K", "Greater than 100K")))</f>
        <v/>
      </c>
      <c r="K301" s="5">
        <f>IF(G301="Strongly disagree", 1, IF(G301="Disagree", 2, IF(G301="Neutral", 3, IF(G301="Agree", 4, IF(G301="Strongly agree", 5, 0)))))</f>
        <v/>
      </c>
    </row>
    <row r="302" ht="28.8" customHeight="1">
      <c r="A302" s="5" t="n">
        <v>301</v>
      </c>
      <c r="B302" s="5" t="inlineStr">
        <is>
          <t>Middle-aged</t>
        </is>
      </c>
      <c r="C302" s="5" t="n">
        <v>1</v>
      </c>
      <c r="D302" s="5" t="inlineStr">
        <is>
          <t>New York</t>
        </is>
      </c>
      <c r="E302" s="5" t="n">
        <v>2</v>
      </c>
      <c r="F302" s="5" t="n">
        <v>86538</v>
      </c>
      <c r="G302" s="5" t="inlineStr">
        <is>
          <t>Disagree</t>
        </is>
      </c>
      <c r="H302" s="5">
        <f>IF(C302=1, "Male", "Female")</f>
        <v/>
      </c>
      <c r="I302" s="5">
        <f>IF(E302=0, "No children", "At least one child")</f>
        <v/>
      </c>
      <c r="J302" s="5">
        <f>IF(F302&lt;40000, "Less than 40K", IF(F302&lt;=70000, "Between 40K and 70K", IF(F302&lt;=100000, "Between 70K and 100K", "Greater than 100K")))</f>
        <v/>
      </c>
      <c r="K302" s="5">
        <f>IF(G302="Strongly disagree", 1, IF(G302="Disagree", 2, IF(G302="Neutral", 3, IF(G302="Agree", 4, IF(G302="Strongly agree", 5, 0)))))</f>
        <v/>
      </c>
    </row>
    <row r="303" ht="28.8" customHeight="1">
      <c r="A303" s="5" t="n">
        <v>302</v>
      </c>
      <c r="B303" s="5" t="inlineStr">
        <is>
          <t>Middle-aged</t>
        </is>
      </c>
      <c r="C303" s="5" t="n">
        <v>1</v>
      </c>
      <c r="D303" s="5" t="inlineStr">
        <is>
          <t>Virginia</t>
        </is>
      </c>
      <c r="E303" s="5" t="n">
        <v>0</v>
      </c>
      <c r="F303" s="5" t="n">
        <v>76810</v>
      </c>
      <c r="G303" s="5" t="inlineStr">
        <is>
          <t>Neutral</t>
        </is>
      </c>
      <c r="H303" s="5">
        <f>IF(C303=1, "Male", "Female")</f>
        <v/>
      </c>
      <c r="I303" s="5">
        <f>IF(E303=0, "No children", "At least one child")</f>
        <v/>
      </c>
      <c r="J303" s="5">
        <f>IF(F303&lt;40000, "Less than 40K", IF(F303&lt;=70000, "Between 40K and 70K", IF(F303&lt;=100000, "Between 70K and 100K", "Greater than 100K")))</f>
        <v/>
      </c>
      <c r="K303" s="5">
        <f>IF(G303="Strongly disagree", 1, IF(G303="Disagree", 2, IF(G303="Neutral", 3, IF(G303="Agree", 4, IF(G303="Strongly agree", 5, 0)))))</f>
        <v/>
      </c>
    </row>
    <row r="304" ht="28.8" customHeight="1">
      <c r="A304" s="5" t="n">
        <v>303</v>
      </c>
      <c r="B304" s="5" t="inlineStr">
        <is>
          <t>Young</t>
        </is>
      </c>
      <c r="C304" s="5" t="n">
        <v>1</v>
      </c>
      <c r="D304" s="5" t="inlineStr">
        <is>
          <t>Virginia</t>
        </is>
      </c>
      <c r="E304" s="5" t="n">
        <v>2</v>
      </c>
      <c r="F304" s="5" t="n">
        <v>44006</v>
      </c>
      <c r="G304" s="5" t="inlineStr">
        <is>
          <t>Strongly disagree</t>
        </is>
      </c>
      <c r="H304" s="5">
        <f>IF(C304=1, "Male", "Female")</f>
        <v/>
      </c>
      <c r="I304" s="5">
        <f>IF(E304=0, "No children", "At least one child")</f>
        <v/>
      </c>
      <c r="J304" s="5">
        <f>IF(F304&lt;40000, "Less than 40K", IF(F304&lt;=70000, "Between 40K and 70K", IF(F304&lt;=100000, "Between 70K and 100K", "Greater than 100K")))</f>
        <v/>
      </c>
      <c r="K304" s="5">
        <f>IF(G304="Strongly disagree", 1, IF(G304="Disagree", 2, IF(G304="Neutral", 3, IF(G304="Agree", 4, IF(G304="Strongly agree", 5, 0)))))</f>
        <v/>
      </c>
    </row>
    <row r="305" ht="28.8" customHeight="1">
      <c r="A305" s="5" t="n">
        <v>304</v>
      </c>
      <c r="B305" s="5" t="inlineStr">
        <is>
          <t>Young</t>
        </is>
      </c>
      <c r="C305" s="5" t="n">
        <v>2</v>
      </c>
      <c r="D305" s="5" t="inlineStr">
        <is>
          <t>California</t>
        </is>
      </c>
      <c r="E305" s="5" t="n">
        <v>1</v>
      </c>
      <c r="F305" s="5" t="n">
        <v>46239</v>
      </c>
      <c r="G305" s="5" t="inlineStr">
        <is>
          <t>Strongly agree</t>
        </is>
      </c>
      <c r="H305" s="5">
        <f>IF(C305=1, "Male", "Female")</f>
        <v/>
      </c>
      <c r="I305" s="5">
        <f>IF(E305=0, "No children", "At least one child")</f>
        <v/>
      </c>
      <c r="J305" s="5">
        <f>IF(F305&lt;40000, "Less than 40K", IF(F305&lt;=70000, "Between 40K and 70K", IF(F305&lt;=100000, "Between 70K and 100K", "Greater than 100K")))</f>
        <v/>
      </c>
      <c r="K305" s="5">
        <f>IF(G305="Strongly disagree", 1, IF(G305="Disagree", 2, IF(G305="Neutral", 3, IF(G305="Agree", 4, IF(G305="Strongly agree", 5, 0)))))</f>
        <v/>
      </c>
    </row>
    <row r="306" ht="28.8" customHeight="1">
      <c r="A306" s="5" t="n">
        <v>305</v>
      </c>
      <c r="B306" s="5" t="inlineStr">
        <is>
          <t>Middle-aged</t>
        </is>
      </c>
      <c r="C306" s="5" t="n">
        <v>1</v>
      </c>
      <c r="D306" s="5" t="inlineStr">
        <is>
          <t>Texas</t>
        </is>
      </c>
      <c r="E306" s="5" t="n">
        <v>0</v>
      </c>
      <c r="F306" s="5" t="n">
        <v>75250</v>
      </c>
      <c r="G306" s="5" t="inlineStr">
        <is>
          <t>Neutral</t>
        </is>
      </c>
      <c r="H306" s="5">
        <f>IF(C306=1, "Male", "Female")</f>
        <v/>
      </c>
      <c r="I306" s="5">
        <f>IF(E306=0, "No children", "At least one child")</f>
        <v/>
      </c>
      <c r="J306" s="5">
        <f>IF(F306&lt;40000, "Less than 40K", IF(F306&lt;=70000, "Between 40K and 70K", IF(F306&lt;=100000, "Between 70K and 100K", "Greater than 100K")))</f>
        <v/>
      </c>
      <c r="K306" s="5">
        <f>IF(G306="Strongly disagree", 1, IF(G306="Disagree", 2, IF(G306="Neutral", 3, IF(G306="Agree", 4, IF(G306="Strongly agree", 5, 0)))))</f>
        <v/>
      </c>
    </row>
    <row r="307" ht="28.8" customHeight="1">
      <c r="A307" s="5" t="n">
        <v>306</v>
      </c>
      <c r="B307" s="5" t="inlineStr">
        <is>
          <t>Elderly</t>
        </is>
      </c>
      <c r="C307" s="5" t="n">
        <v>2</v>
      </c>
      <c r="D307" s="5" t="inlineStr">
        <is>
          <t>Ohio</t>
        </is>
      </c>
      <c r="E307" s="5" t="n">
        <v>2</v>
      </c>
      <c r="F307" s="5" t="n">
        <v>74751</v>
      </c>
      <c r="G307" s="5" t="inlineStr">
        <is>
          <t>Strongly agree</t>
        </is>
      </c>
      <c r="H307" s="5">
        <f>IF(C307=1, "Male", "Female")</f>
        <v/>
      </c>
      <c r="I307" s="5">
        <f>IF(E307=0, "No children", "At least one child")</f>
        <v/>
      </c>
      <c r="J307" s="5">
        <f>IF(F307&lt;40000, "Less than 40K", IF(F307&lt;=70000, "Between 40K and 70K", IF(F307&lt;=100000, "Between 70K and 100K", "Greater than 100K")))</f>
        <v/>
      </c>
      <c r="K307" s="5">
        <f>IF(G307="Strongly disagree", 1, IF(G307="Disagree", 2, IF(G307="Neutral", 3, IF(G307="Agree", 4, IF(G307="Strongly agree", 5, 0)))))</f>
        <v/>
      </c>
    </row>
    <row r="308" ht="28.8" customHeight="1">
      <c r="A308" s="5" t="n">
        <v>307</v>
      </c>
      <c r="B308" s="5" t="inlineStr">
        <is>
          <t>Young</t>
        </is>
      </c>
      <c r="C308" s="5" t="n">
        <v>1</v>
      </c>
      <c r="D308" s="5" t="inlineStr">
        <is>
          <t>California</t>
        </is>
      </c>
      <c r="E308" s="5" t="n">
        <v>2</v>
      </c>
      <c r="F308" s="5" t="n">
        <v>52686</v>
      </c>
      <c r="G308" s="5" t="inlineStr">
        <is>
          <t>Strongly agree</t>
        </is>
      </c>
      <c r="H308" s="5">
        <f>IF(C308=1, "Male", "Female")</f>
        <v/>
      </c>
      <c r="I308" s="5">
        <f>IF(E308=0, "No children", "At least one child")</f>
        <v/>
      </c>
      <c r="J308" s="5">
        <f>IF(F308&lt;40000, "Less than 40K", IF(F308&lt;=70000, "Between 40K and 70K", IF(F308&lt;=100000, "Between 70K and 100K", "Greater than 100K")))</f>
        <v/>
      </c>
      <c r="K308" s="5">
        <f>IF(G308="Strongly disagree", 1, IF(G308="Disagree", 2, IF(G308="Neutral", 3, IF(G308="Agree", 4, IF(G308="Strongly agree", 5, 0)))))</f>
        <v/>
      </c>
    </row>
    <row r="309" ht="28.8" customHeight="1">
      <c r="A309" s="5" t="n">
        <v>308</v>
      </c>
      <c r="B309" s="5" t="inlineStr">
        <is>
          <t>Elderly</t>
        </is>
      </c>
      <c r="C309" s="5" t="n">
        <v>2</v>
      </c>
      <c r="D309" s="5" t="inlineStr">
        <is>
          <t>Texas</t>
        </is>
      </c>
      <c r="E309" s="5" t="n">
        <v>1</v>
      </c>
      <c r="F309" s="5" t="n">
        <v>75365</v>
      </c>
      <c r="G309" s="5" t="inlineStr">
        <is>
          <t>Strongly disagree</t>
        </is>
      </c>
      <c r="H309" s="5">
        <f>IF(C309=1, "Male", "Female")</f>
        <v/>
      </c>
      <c r="I309" s="5">
        <f>IF(E309=0, "No children", "At least one child")</f>
        <v/>
      </c>
      <c r="J309" s="5">
        <f>IF(F309&lt;40000, "Less than 40K", IF(F309&lt;=70000, "Between 40K and 70K", IF(F309&lt;=100000, "Between 70K and 100K", "Greater than 100K")))</f>
        <v/>
      </c>
      <c r="K309" s="5">
        <f>IF(G309="Strongly disagree", 1, IF(G309="Disagree", 2, IF(G309="Neutral", 3, IF(G309="Agree", 4, IF(G309="Strongly agree", 5, 0)))))</f>
        <v/>
      </c>
    </row>
    <row r="310" ht="28.8" customHeight="1">
      <c r="A310" s="5" t="n">
        <v>309</v>
      </c>
      <c r="B310" s="5" t="inlineStr">
        <is>
          <t>Middle-aged</t>
        </is>
      </c>
      <c r="C310" s="5" t="n">
        <v>1</v>
      </c>
      <c r="D310" s="5" t="inlineStr">
        <is>
          <t>Illinois</t>
        </is>
      </c>
      <c r="E310" s="5" t="n">
        <v>3</v>
      </c>
      <c r="F310" s="5" t="n">
        <v>103556</v>
      </c>
      <c r="G310" s="5" t="inlineStr">
        <is>
          <t>Agree</t>
        </is>
      </c>
      <c r="H310" s="5">
        <f>IF(C310=1, "Male", "Female")</f>
        <v/>
      </c>
      <c r="I310" s="5">
        <f>IF(E310=0, "No children", "At least one child")</f>
        <v/>
      </c>
      <c r="J310" s="5">
        <f>IF(F310&lt;40000, "Less than 40K", IF(F310&lt;=70000, "Between 40K and 70K", IF(F310&lt;=100000, "Between 70K and 100K", "Greater than 100K")))</f>
        <v/>
      </c>
      <c r="K310" s="5">
        <f>IF(G310="Strongly disagree", 1, IF(G310="Disagree", 2, IF(G310="Neutral", 3, IF(G310="Agree", 4, IF(G310="Strongly agree", 5, 0)))))</f>
        <v/>
      </c>
    </row>
    <row r="311" ht="28.8" customHeight="1">
      <c r="A311" s="5" t="n">
        <v>310</v>
      </c>
      <c r="B311" s="5" t="inlineStr">
        <is>
          <t>Elderly</t>
        </is>
      </c>
      <c r="C311" s="5" t="n">
        <v>1</v>
      </c>
      <c r="D311" s="5" t="inlineStr">
        <is>
          <t>Minnesota</t>
        </is>
      </c>
      <c r="E311" s="5" t="n">
        <v>2</v>
      </c>
      <c r="F311" s="5" t="n">
        <v>69817</v>
      </c>
      <c r="G311" s="5" t="inlineStr">
        <is>
          <t>Strongly agree</t>
        </is>
      </c>
      <c r="H311" s="5">
        <f>IF(C311=1, "Male", "Female")</f>
        <v/>
      </c>
      <c r="I311" s="5">
        <f>IF(E311=0, "No children", "At least one child")</f>
        <v/>
      </c>
      <c r="J311" s="5">
        <f>IF(F311&lt;40000, "Less than 40K", IF(F311&lt;=70000, "Between 40K and 70K", IF(F311&lt;=100000, "Between 70K and 100K", "Greater than 100K")))</f>
        <v/>
      </c>
      <c r="K311" s="5">
        <f>IF(G311="Strongly disagree", 1, IF(G311="Disagree", 2, IF(G311="Neutral", 3, IF(G311="Agree", 4, IF(G311="Strongly agree", 5, 0)))))</f>
        <v/>
      </c>
    </row>
    <row r="312">
      <c r="A312" s="5" t="n">
        <v>311</v>
      </c>
      <c r="B312" s="5" t="inlineStr">
        <is>
          <t>Middle-aged</t>
        </is>
      </c>
      <c r="C312" s="5" t="n">
        <v>1</v>
      </c>
      <c r="D312" s="5" t="inlineStr">
        <is>
          <t>Florida</t>
        </is>
      </c>
      <c r="E312" s="5" t="n">
        <v>2</v>
      </c>
      <c r="F312" s="5" t="n">
        <v>20735</v>
      </c>
      <c r="G312" s="5" t="inlineStr">
        <is>
          <t>Neutral</t>
        </is>
      </c>
      <c r="H312" s="5">
        <f>IF(C312=1, "Male", "Female")</f>
        <v/>
      </c>
      <c r="I312" s="5">
        <f>IF(E312=0, "No children", "At least one child")</f>
        <v/>
      </c>
      <c r="J312" s="5">
        <f>IF(F312&lt;40000, "Less than 40K", IF(F312&lt;=70000, "Between 40K and 70K", IF(F312&lt;=100000, "Between 70K and 100K", "Greater than 100K")))</f>
        <v/>
      </c>
      <c r="K312" s="5">
        <f>IF(G312="Strongly disagree", 1, IF(G312="Disagree", 2, IF(G312="Neutral", 3, IF(G312="Agree", 4, IF(G312="Strongly agree", 5, 0)))))</f>
        <v/>
      </c>
    </row>
    <row r="313">
      <c r="A313" s="5" t="n">
        <v>312</v>
      </c>
      <c r="B313" s="5" t="inlineStr">
        <is>
          <t>Young</t>
        </is>
      </c>
      <c r="C313" s="5" t="n">
        <v>2</v>
      </c>
      <c r="D313" s="5" t="inlineStr">
        <is>
          <t>New York</t>
        </is>
      </c>
      <c r="E313" s="5" t="n">
        <v>2</v>
      </c>
      <c r="F313" s="5" t="n">
        <v>20687</v>
      </c>
      <c r="G313" s="5" t="inlineStr">
        <is>
          <t>Strongly agree</t>
        </is>
      </c>
      <c r="H313" s="5">
        <f>IF(C313=1, "Male", "Female")</f>
        <v/>
      </c>
      <c r="I313" s="5">
        <f>IF(E313=0, "No children", "At least one child")</f>
        <v/>
      </c>
      <c r="J313" s="5">
        <f>IF(F313&lt;40000, "Less than 40K", IF(F313&lt;=70000, "Between 40K and 70K", IF(F313&lt;=100000, "Between 70K and 100K", "Greater than 100K")))</f>
        <v/>
      </c>
      <c r="K313" s="5">
        <f>IF(G313="Strongly disagree", 1, IF(G313="Disagree", 2, IF(G313="Neutral", 3, IF(G313="Agree", 4, IF(G313="Strongly agree", 5, 0)))))</f>
        <v/>
      </c>
    </row>
    <row r="314" ht="28.8" customHeight="1">
      <c r="A314" s="5" t="n">
        <v>313</v>
      </c>
      <c r="B314" s="5" t="inlineStr">
        <is>
          <t>Elderly</t>
        </is>
      </c>
      <c r="C314" s="5" t="n">
        <v>1</v>
      </c>
      <c r="D314" s="5" t="inlineStr">
        <is>
          <t>Illinois</t>
        </is>
      </c>
      <c r="E314" s="5" t="n">
        <v>3</v>
      </c>
      <c r="F314" s="5" t="n">
        <v>97975</v>
      </c>
      <c r="G314" s="5" t="inlineStr">
        <is>
          <t>Disagree</t>
        </is>
      </c>
      <c r="H314" s="5">
        <f>IF(C314=1, "Male", "Female")</f>
        <v/>
      </c>
      <c r="I314" s="5">
        <f>IF(E314=0, "No children", "At least one child")</f>
        <v/>
      </c>
      <c r="J314" s="5">
        <f>IF(F314&lt;40000, "Less than 40K", IF(F314&lt;=70000, "Between 40K and 70K", IF(F314&lt;=100000, "Between 70K and 100K", "Greater than 100K")))</f>
        <v/>
      </c>
      <c r="K314" s="5">
        <f>IF(G314="Strongly disagree", 1, IF(G314="Disagree", 2, IF(G314="Neutral", 3, IF(G314="Agree", 4, IF(G314="Strongly agree", 5, 0)))))</f>
        <v/>
      </c>
    </row>
    <row r="315" ht="28.8" customHeight="1">
      <c r="A315" s="5" t="n">
        <v>314</v>
      </c>
      <c r="B315" s="5" t="inlineStr">
        <is>
          <t>Middle-aged</t>
        </is>
      </c>
      <c r="C315" s="5" t="n">
        <v>1</v>
      </c>
      <c r="D315" s="5" t="inlineStr">
        <is>
          <t>Virginia</t>
        </is>
      </c>
      <c r="E315" s="5" t="n">
        <v>2</v>
      </c>
      <c r="F315" s="5" t="n">
        <v>98774</v>
      </c>
      <c r="G315" s="5" t="inlineStr">
        <is>
          <t>Agree</t>
        </is>
      </c>
      <c r="H315" s="5">
        <f>IF(C315=1, "Male", "Female")</f>
        <v/>
      </c>
      <c r="I315" s="5">
        <f>IF(E315=0, "No children", "At least one child")</f>
        <v/>
      </c>
      <c r="J315" s="5">
        <f>IF(F315&lt;40000, "Less than 40K", IF(F315&lt;=70000, "Between 40K and 70K", IF(F315&lt;=100000, "Between 70K and 100K", "Greater than 100K")))</f>
        <v/>
      </c>
      <c r="K315" s="5">
        <f>IF(G315="Strongly disagree", 1, IF(G315="Disagree", 2, IF(G315="Neutral", 3, IF(G315="Agree", 4, IF(G315="Strongly agree", 5, 0)))))</f>
        <v/>
      </c>
    </row>
    <row r="316" ht="28.8" customHeight="1">
      <c r="A316" s="5" t="n">
        <v>315</v>
      </c>
      <c r="B316" s="5" t="inlineStr">
        <is>
          <t>Middle-aged</t>
        </is>
      </c>
      <c r="C316" s="5" t="n">
        <v>1</v>
      </c>
      <c r="D316" s="5" t="inlineStr">
        <is>
          <t>Virginia</t>
        </is>
      </c>
      <c r="E316" s="5" t="n">
        <v>2</v>
      </c>
      <c r="F316" s="5" t="n">
        <v>85412</v>
      </c>
      <c r="G316" s="5" t="inlineStr">
        <is>
          <t>Disagree</t>
        </is>
      </c>
      <c r="H316" s="5">
        <f>IF(C316=1, "Male", "Female")</f>
        <v/>
      </c>
      <c r="I316" s="5">
        <f>IF(E316=0, "No children", "At least one child")</f>
        <v/>
      </c>
      <c r="J316" s="5">
        <f>IF(F316&lt;40000, "Less than 40K", IF(F316&lt;=70000, "Between 40K and 70K", IF(F316&lt;=100000, "Between 70K and 100K", "Greater than 100K")))</f>
        <v/>
      </c>
      <c r="K316" s="5">
        <f>IF(G316="Strongly disagree", 1, IF(G316="Disagree", 2, IF(G316="Neutral", 3, IF(G316="Agree", 4, IF(G316="Strongly agree", 5, 0)))))</f>
        <v/>
      </c>
    </row>
    <row r="317" ht="28.8" customHeight="1">
      <c r="A317" s="5" t="n">
        <v>316</v>
      </c>
      <c r="B317" s="5" t="inlineStr">
        <is>
          <t>Middle-aged</t>
        </is>
      </c>
      <c r="C317" s="5" t="n">
        <v>1</v>
      </c>
      <c r="D317" s="5" t="inlineStr">
        <is>
          <t>Arizona</t>
        </is>
      </c>
      <c r="E317" s="5" t="n">
        <v>0</v>
      </c>
      <c r="F317" s="5" t="n">
        <v>71280</v>
      </c>
      <c r="G317" s="5" t="inlineStr">
        <is>
          <t>Strongly agree</t>
        </is>
      </c>
      <c r="H317" s="5">
        <f>IF(C317=1, "Male", "Female")</f>
        <v/>
      </c>
      <c r="I317" s="5">
        <f>IF(E317=0, "No children", "At least one child")</f>
        <v/>
      </c>
      <c r="J317" s="5">
        <f>IF(F317&lt;40000, "Less than 40K", IF(F317&lt;=70000, "Between 40K and 70K", IF(F317&lt;=100000, "Between 70K and 100K", "Greater than 100K")))</f>
        <v/>
      </c>
      <c r="K317" s="5">
        <f>IF(G317="Strongly disagree", 1, IF(G317="Disagree", 2, IF(G317="Neutral", 3, IF(G317="Agree", 4, IF(G317="Strongly agree", 5, 0)))))</f>
        <v/>
      </c>
    </row>
    <row r="318">
      <c r="A318" s="5" t="n">
        <v>317</v>
      </c>
      <c r="B318" s="5" t="inlineStr">
        <is>
          <t>Young</t>
        </is>
      </c>
      <c r="C318" s="5" t="n">
        <v>1</v>
      </c>
      <c r="D318" s="5" t="inlineStr">
        <is>
          <t>Arizona</t>
        </is>
      </c>
      <c r="E318" s="5" t="n">
        <v>1</v>
      </c>
      <c r="F318" s="5" t="n">
        <v>38114</v>
      </c>
      <c r="G318" s="5" t="inlineStr">
        <is>
          <t>Strongly agree</t>
        </is>
      </c>
      <c r="H318" s="5">
        <f>IF(C318=1, "Male", "Female")</f>
        <v/>
      </c>
      <c r="I318" s="5">
        <f>IF(E318=0, "No children", "At least one child")</f>
        <v/>
      </c>
      <c r="J318" s="5">
        <f>IF(F318&lt;40000, "Less than 40K", IF(F318&lt;=70000, "Between 40K and 70K", IF(F318&lt;=100000, "Between 70K and 100K", "Greater than 100K")))</f>
        <v/>
      </c>
      <c r="K318" s="5">
        <f>IF(G318="Strongly disagree", 1, IF(G318="Disagree", 2, IF(G318="Neutral", 3, IF(G318="Agree", 4, IF(G318="Strongly agree", 5, 0)))))</f>
        <v/>
      </c>
    </row>
    <row r="319" ht="28.8" customHeight="1">
      <c r="A319" s="5" t="n">
        <v>318</v>
      </c>
      <c r="B319" s="5" t="inlineStr">
        <is>
          <t>Middle-aged</t>
        </is>
      </c>
      <c r="C319" s="5" t="n">
        <v>1</v>
      </c>
      <c r="D319" s="5" t="inlineStr">
        <is>
          <t>Minnesota</t>
        </is>
      </c>
      <c r="E319" s="5" t="n">
        <v>2</v>
      </c>
      <c r="F319" s="5" t="n">
        <v>66348</v>
      </c>
      <c r="G319" s="5" t="inlineStr">
        <is>
          <t>Strongly agree</t>
        </is>
      </c>
      <c r="H319" s="5">
        <f>IF(C319=1, "Male", "Female")</f>
        <v/>
      </c>
      <c r="I319" s="5">
        <f>IF(E319=0, "No children", "At least one child")</f>
        <v/>
      </c>
      <c r="J319" s="5">
        <f>IF(F319&lt;40000, "Less than 40K", IF(F319&lt;=70000, "Between 40K and 70K", IF(F319&lt;=100000, "Between 70K and 100K", "Greater than 100K")))</f>
        <v/>
      </c>
      <c r="K319" s="5">
        <f>IF(G319="Strongly disagree", 1, IF(G319="Disagree", 2, IF(G319="Neutral", 3, IF(G319="Agree", 4, IF(G319="Strongly agree", 5, 0)))))</f>
        <v/>
      </c>
    </row>
    <row r="320" ht="28.8" customHeight="1">
      <c r="A320" s="5" t="n">
        <v>319</v>
      </c>
      <c r="B320" s="5" t="inlineStr">
        <is>
          <t>Middle-aged</t>
        </is>
      </c>
      <c r="C320" s="5" t="n">
        <v>1</v>
      </c>
      <c r="D320" s="5" t="inlineStr">
        <is>
          <t>Arizona</t>
        </is>
      </c>
      <c r="E320" s="5" t="n">
        <v>1</v>
      </c>
      <c r="F320" s="5" t="n">
        <v>60580</v>
      </c>
      <c r="G320" s="5" t="inlineStr">
        <is>
          <t>Disagree</t>
        </is>
      </c>
      <c r="H320" s="5">
        <f>IF(C320=1, "Male", "Female")</f>
        <v/>
      </c>
      <c r="I320" s="5">
        <f>IF(E320=0, "No children", "At least one child")</f>
        <v/>
      </c>
      <c r="J320" s="5">
        <f>IF(F320&lt;40000, "Less than 40K", IF(F320&lt;=70000, "Between 40K and 70K", IF(F320&lt;=100000, "Between 70K and 100K", "Greater than 100K")))</f>
        <v/>
      </c>
      <c r="K320" s="5">
        <f>IF(G320="Strongly disagree", 1, IF(G320="Disagree", 2, IF(G320="Neutral", 3, IF(G320="Agree", 4, IF(G320="Strongly agree", 5, 0)))))</f>
        <v/>
      </c>
    </row>
    <row r="321" ht="28.8" customHeight="1">
      <c r="A321" s="5" t="n">
        <v>320</v>
      </c>
      <c r="B321" s="5" t="inlineStr">
        <is>
          <t>Young</t>
        </is>
      </c>
      <c r="C321" s="5" t="n">
        <v>2</v>
      </c>
      <c r="D321" s="5" t="inlineStr">
        <is>
          <t>Michigan</t>
        </is>
      </c>
      <c r="E321" s="5" t="n">
        <v>2</v>
      </c>
      <c r="F321" s="5" t="n">
        <v>43604</v>
      </c>
      <c r="G321" s="5" t="inlineStr">
        <is>
          <t>Agree</t>
        </is>
      </c>
      <c r="H321" s="5">
        <f>IF(C321=1, "Male", "Female")</f>
        <v/>
      </c>
      <c r="I321" s="5">
        <f>IF(E321=0, "No children", "At least one child")</f>
        <v/>
      </c>
      <c r="J321" s="5">
        <f>IF(F321&lt;40000, "Less than 40K", IF(F321&lt;=70000, "Between 40K and 70K", IF(F321&lt;=100000, "Between 70K and 100K", "Greater than 100K")))</f>
        <v/>
      </c>
      <c r="K321" s="5">
        <f>IF(G321="Strongly disagree", 1, IF(G321="Disagree", 2, IF(G321="Neutral", 3, IF(G321="Agree", 4, IF(G321="Strongly agree", 5, 0)))))</f>
        <v/>
      </c>
    </row>
    <row r="322" ht="28.8" customHeight="1">
      <c r="A322" s="5" t="n">
        <v>321</v>
      </c>
      <c r="B322" s="5" t="inlineStr">
        <is>
          <t>Middle-aged</t>
        </is>
      </c>
      <c r="C322" s="5" t="n">
        <v>2</v>
      </c>
      <c r="D322" s="5" t="inlineStr">
        <is>
          <t>Minnesota</t>
        </is>
      </c>
      <c r="E322" s="5" t="n">
        <v>0</v>
      </c>
      <c r="F322" s="5" t="n">
        <v>68017</v>
      </c>
      <c r="G322" s="5" t="inlineStr">
        <is>
          <t>Disagree</t>
        </is>
      </c>
      <c r="H322" s="5">
        <f>IF(C322=1, "Male", "Female")</f>
        <v/>
      </c>
      <c r="I322" s="5">
        <f>IF(E322=0, "No children", "At least one child")</f>
        <v/>
      </c>
      <c r="J322" s="5">
        <f>IF(F322&lt;40000, "Less than 40K", IF(F322&lt;=70000, "Between 40K and 70K", IF(F322&lt;=100000, "Between 70K and 100K", "Greater than 100K")))</f>
        <v/>
      </c>
      <c r="K322" s="5">
        <f>IF(G322="Strongly disagree", 1, IF(G322="Disagree", 2, IF(G322="Neutral", 3, IF(G322="Agree", 4, IF(G322="Strongly agree", 5, 0)))))</f>
        <v/>
      </c>
    </row>
    <row r="323" ht="28.8" customHeight="1">
      <c r="A323" s="5" t="n">
        <v>322</v>
      </c>
      <c r="B323" s="5" t="inlineStr">
        <is>
          <t>Young</t>
        </is>
      </c>
      <c r="C323" s="5" t="n">
        <v>2</v>
      </c>
      <c r="D323" s="5" t="inlineStr">
        <is>
          <t>Virginia</t>
        </is>
      </c>
      <c r="E323" s="5" t="n">
        <v>2</v>
      </c>
      <c r="F323" s="5" t="n">
        <v>44107</v>
      </c>
      <c r="G323" s="5" t="inlineStr">
        <is>
          <t>Disagree</t>
        </is>
      </c>
      <c r="H323" s="5">
        <f>IF(C323=1, "Male", "Female")</f>
        <v/>
      </c>
      <c r="I323" s="5">
        <f>IF(E323=0, "No children", "At least one child")</f>
        <v/>
      </c>
      <c r="J323" s="5">
        <f>IF(F323&lt;40000, "Less than 40K", IF(F323&lt;=70000, "Between 40K and 70K", IF(F323&lt;=100000, "Between 70K and 100K", "Greater than 100K")))</f>
        <v/>
      </c>
      <c r="K323" s="5">
        <f>IF(G323="Strongly disagree", 1, IF(G323="Disagree", 2, IF(G323="Neutral", 3, IF(G323="Agree", 4, IF(G323="Strongly agree", 5, 0)))))</f>
        <v/>
      </c>
    </row>
    <row r="324" ht="28.8" customHeight="1">
      <c r="A324" s="5" t="n">
        <v>323</v>
      </c>
      <c r="B324" s="5" t="inlineStr">
        <is>
          <t>Elderly</t>
        </is>
      </c>
      <c r="C324" s="5" t="n">
        <v>2</v>
      </c>
      <c r="D324" s="5" t="inlineStr">
        <is>
          <t>Texas</t>
        </is>
      </c>
      <c r="E324" s="5" t="n">
        <v>2</v>
      </c>
      <c r="F324" s="5" t="n">
        <v>76391</v>
      </c>
      <c r="G324" s="5" t="inlineStr">
        <is>
          <t>Agree</t>
        </is>
      </c>
      <c r="H324" s="5">
        <f>IF(C324=1, "Male", "Female")</f>
        <v/>
      </c>
      <c r="I324" s="5">
        <f>IF(E324=0, "No children", "At least one child")</f>
        <v/>
      </c>
      <c r="J324" s="5">
        <f>IF(F324&lt;40000, "Less than 40K", IF(F324&lt;=70000, "Between 40K and 70K", IF(F324&lt;=100000, "Between 70K and 100K", "Greater than 100K")))</f>
        <v/>
      </c>
      <c r="K324" s="5">
        <f>IF(G324="Strongly disagree", 1, IF(G324="Disagree", 2, IF(G324="Neutral", 3, IF(G324="Agree", 4, IF(G324="Strongly agree", 5, 0)))))</f>
        <v/>
      </c>
    </row>
    <row r="325" ht="28.8" customHeight="1">
      <c r="A325" s="5" t="n">
        <v>324</v>
      </c>
      <c r="B325" s="5" t="inlineStr">
        <is>
          <t>Young</t>
        </is>
      </c>
      <c r="C325" s="5" t="n">
        <v>1</v>
      </c>
      <c r="D325" s="5" t="inlineStr">
        <is>
          <t>Arizona</t>
        </is>
      </c>
      <c r="E325" s="5" t="n">
        <v>0</v>
      </c>
      <c r="F325" s="5" t="n">
        <v>43773</v>
      </c>
      <c r="G325" s="5" t="inlineStr">
        <is>
          <t>Agree</t>
        </is>
      </c>
      <c r="H325" s="5">
        <f>IF(C325=1, "Male", "Female")</f>
        <v/>
      </c>
      <c r="I325" s="5">
        <f>IF(E325=0, "No children", "At least one child")</f>
        <v/>
      </c>
      <c r="J325" s="5">
        <f>IF(F325&lt;40000, "Less than 40K", IF(F325&lt;=70000, "Between 40K and 70K", IF(F325&lt;=100000, "Between 70K and 100K", "Greater than 100K")))</f>
        <v/>
      </c>
      <c r="K325" s="5">
        <f>IF(G325="Strongly disagree", 1, IF(G325="Disagree", 2, IF(G325="Neutral", 3, IF(G325="Agree", 4, IF(G325="Strongly agree", 5, 0)))))</f>
        <v/>
      </c>
    </row>
    <row r="326" ht="28.8" customHeight="1">
      <c r="A326" s="5" t="n">
        <v>325</v>
      </c>
      <c r="B326" s="5" t="inlineStr">
        <is>
          <t>Middle-aged</t>
        </is>
      </c>
      <c r="C326" s="5" t="n">
        <v>1</v>
      </c>
      <c r="D326" s="5" t="inlineStr">
        <is>
          <t>Illinois</t>
        </is>
      </c>
      <c r="E326" s="5" t="n">
        <v>2</v>
      </c>
      <c r="F326" s="5" t="n">
        <v>96949</v>
      </c>
      <c r="G326" s="5" t="inlineStr">
        <is>
          <t>Disagree</t>
        </is>
      </c>
      <c r="H326" s="5">
        <f>IF(C326=1, "Male", "Female")</f>
        <v/>
      </c>
      <c r="I326" s="5">
        <f>IF(E326=0, "No children", "At least one child")</f>
        <v/>
      </c>
      <c r="J326" s="5">
        <f>IF(F326&lt;40000, "Less than 40K", IF(F326&lt;=70000, "Between 40K and 70K", IF(F326&lt;=100000, "Between 70K and 100K", "Greater than 100K")))</f>
        <v/>
      </c>
      <c r="K326" s="5">
        <f>IF(G326="Strongly disagree", 1, IF(G326="Disagree", 2, IF(G326="Neutral", 3, IF(G326="Agree", 4, IF(G326="Strongly agree", 5, 0)))))</f>
        <v/>
      </c>
    </row>
    <row r="327" ht="28.8" customHeight="1">
      <c r="A327" s="5" t="n">
        <v>326</v>
      </c>
      <c r="B327" s="5" t="inlineStr">
        <is>
          <t>Middle-aged</t>
        </is>
      </c>
      <c r="C327" s="5" t="n">
        <v>1</v>
      </c>
      <c r="D327" s="5" t="inlineStr">
        <is>
          <t>Illinois</t>
        </is>
      </c>
      <c r="E327" s="5" t="n">
        <v>1</v>
      </c>
      <c r="F327" s="5" t="n">
        <v>91331</v>
      </c>
      <c r="G327" s="5" t="inlineStr">
        <is>
          <t>Strongly agree</t>
        </is>
      </c>
      <c r="H327" s="5">
        <f>IF(C327=1, "Male", "Female")</f>
        <v/>
      </c>
      <c r="I327" s="5">
        <f>IF(E327=0, "No children", "At least one child")</f>
        <v/>
      </c>
      <c r="J327" s="5">
        <f>IF(F327&lt;40000, "Less than 40K", IF(F327&lt;=70000, "Between 40K and 70K", IF(F327&lt;=100000, "Between 70K and 100K", "Greater than 100K")))</f>
        <v/>
      </c>
      <c r="K327" s="5">
        <f>IF(G327="Strongly disagree", 1, IF(G327="Disagree", 2, IF(G327="Neutral", 3, IF(G327="Agree", 4, IF(G327="Strongly agree", 5, 0)))))</f>
        <v/>
      </c>
    </row>
    <row r="328" ht="28.8" customHeight="1">
      <c r="A328" s="5" t="n">
        <v>327</v>
      </c>
      <c r="B328" s="5" t="inlineStr">
        <is>
          <t>Middle-aged</t>
        </is>
      </c>
      <c r="C328" s="5" t="n">
        <v>1</v>
      </c>
      <c r="D328" s="5" t="inlineStr">
        <is>
          <t>Florida</t>
        </is>
      </c>
      <c r="E328" s="5" t="n">
        <v>2</v>
      </c>
      <c r="F328" s="5" t="n">
        <v>119453</v>
      </c>
      <c r="G328" s="5" t="inlineStr">
        <is>
          <t>Agree</t>
        </is>
      </c>
      <c r="H328" s="5">
        <f>IF(C328=1, "Male", "Female")</f>
        <v/>
      </c>
      <c r="I328" s="5">
        <f>IF(E328=0, "No children", "At least one child")</f>
        <v/>
      </c>
      <c r="J328" s="5">
        <f>IF(F328&lt;40000, "Less than 40K", IF(F328&lt;=70000, "Between 40K and 70K", IF(F328&lt;=100000, "Between 70K and 100K", "Greater than 100K")))</f>
        <v/>
      </c>
      <c r="K328" s="5">
        <f>IF(G328="Strongly disagree", 1, IF(G328="Disagree", 2, IF(G328="Neutral", 3, IF(G328="Agree", 4, IF(G328="Strongly agree", 5, 0)))))</f>
        <v/>
      </c>
    </row>
    <row r="329" ht="28.8" customHeight="1">
      <c r="A329" s="5" t="n">
        <v>328</v>
      </c>
      <c r="B329" s="5" t="inlineStr">
        <is>
          <t>Young</t>
        </is>
      </c>
      <c r="C329" s="5" t="n">
        <v>2</v>
      </c>
      <c r="D329" s="5" t="inlineStr">
        <is>
          <t>Texas</t>
        </is>
      </c>
      <c r="E329" s="5" t="n">
        <v>2</v>
      </c>
      <c r="F329" s="5" t="n">
        <v>48643</v>
      </c>
      <c r="G329" s="5" t="inlineStr">
        <is>
          <t>Disagree</t>
        </is>
      </c>
      <c r="H329" s="5">
        <f>IF(C329=1, "Male", "Female")</f>
        <v/>
      </c>
      <c r="I329" s="5">
        <f>IF(E329=0, "No children", "At least one child")</f>
        <v/>
      </c>
      <c r="J329" s="5">
        <f>IF(F329&lt;40000, "Less than 40K", IF(F329&lt;=70000, "Between 40K and 70K", IF(F329&lt;=100000, "Between 70K and 100K", "Greater than 100K")))</f>
        <v/>
      </c>
      <c r="K329" s="5">
        <f>IF(G329="Strongly disagree", 1, IF(G329="Disagree", 2, IF(G329="Neutral", 3, IF(G329="Agree", 4, IF(G329="Strongly agree", 5, 0)))))</f>
        <v/>
      </c>
    </row>
    <row r="330">
      <c r="A330" s="5" t="n">
        <v>329</v>
      </c>
      <c r="B330" s="5" t="inlineStr">
        <is>
          <t>Elderly</t>
        </is>
      </c>
      <c r="C330" s="5" t="n">
        <v>2</v>
      </c>
      <c r="D330" s="5" t="inlineStr">
        <is>
          <t>Texas</t>
        </is>
      </c>
      <c r="E330" s="5" t="n">
        <v>0</v>
      </c>
      <c r="F330" s="5" t="n">
        <v>37289</v>
      </c>
      <c r="G330" s="5" t="inlineStr">
        <is>
          <t>Disagree</t>
        </is>
      </c>
      <c r="H330" s="5">
        <f>IF(C330=1, "Male", "Female")</f>
        <v/>
      </c>
      <c r="I330" s="5">
        <f>IF(E330=0, "No children", "At least one child")</f>
        <v/>
      </c>
      <c r="J330" s="5">
        <f>IF(F330&lt;40000, "Less than 40K", IF(F330&lt;=70000, "Between 40K and 70K", IF(F330&lt;=100000, "Between 70K and 100K", "Greater than 100K")))</f>
        <v/>
      </c>
      <c r="K330" s="5">
        <f>IF(G330="Strongly disagree", 1, IF(G330="Disagree", 2, IF(G330="Neutral", 3, IF(G330="Agree", 4, IF(G330="Strongly agree", 5, 0)))))</f>
        <v/>
      </c>
    </row>
    <row r="331" ht="28.8" customHeight="1">
      <c r="A331" s="5" t="n">
        <v>330</v>
      </c>
      <c r="B331" s="5" t="inlineStr">
        <is>
          <t>Middle-aged</t>
        </is>
      </c>
      <c r="C331" s="5" t="n">
        <v>1</v>
      </c>
      <c r="D331" s="5" t="inlineStr">
        <is>
          <t>Texas</t>
        </is>
      </c>
      <c r="E331" s="5" t="n">
        <v>0</v>
      </c>
      <c r="F331" s="5" t="n">
        <v>126369</v>
      </c>
      <c r="G331" s="5" t="inlineStr">
        <is>
          <t>Disagree</t>
        </is>
      </c>
      <c r="H331" s="5">
        <f>IF(C331=1, "Male", "Female")</f>
        <v/>
      </c>
      <c r="I331" s="5">
        <f>IF(E331=0, "No children", "At least one child")</f>
        <v/>
      </c>
      <c r="J331" s="5">
        <f>IF(F331&lt;40000, "Less than 40K", IF(F331&lt;=70000, "Between 40K and 70K", IF(F331&lt;=100000, "Between 70K and 100K", "Greater than 100K")))</f>
        <v/>
      </c>
      <c r="K331" s="5">
        <f>IF(G331="Strongly disagree", 1, IF(G331="Disagree", 2, IF(G331="Neutral", 3, IF(G331="Agree", 4, IF(G331="Strongly agree", 5, 0)))))</f>
        <v/>
      </c>
    </row>
    <row r="332" ht="28.8" customHeight="1">
      <c r="A332" s="5" t="n">
        <v>331</v>
      </c>
      <c r="B332" s="5" t="inlineStr">
        <is>
          <t>Young</t>
        </is>
      </c>
      <c r="C332" s="5" t="n">
        <v>1</v>
      </c>
      <c r="D332" s="5" t="inlineStr">
        <is>
          <t>Arizona</t>
        </is>
      </c>
      <c r="E332" s="5" t="n">
        <v>2</v>
      </c>
      <c r="F332" s="5" t="n">
        <v>40883</v>
      </c>
      <c r="G332" s="5" t="inlineStr">
        <is>
          <t>Disagree</t>
        </is>
      </c>
      <c r="H332" s="5">
        <f>IF(C332=1, "Male", "Female")</f>
        <v/>
      </c>
      <c r="I332" s="5">
        <f>IF(E332=0, "No children", "At least one child")</f>
        <v/>
      </c>
      <c r="J332" s="5">
        <f>IF(F332&lt;40000, "Less than 40K", IF(F332&lt;=70000, "Between 40K and 70K", IF(F332&lt;=100000, "Between 70K and 100K", "Greater than 100K")))</f>
        <v/>
      </c>
      <c r="K332" s="5">
        <f>IF(G332="Strongly disagree", 1, IF(G332="Disagree", 2, IF(G332="Neutral", 3, IF(G332="Agree", 4, IF(G332="Strongly agree", 5, 0)))))</f>
        <v/>
      </c>
    </row>
    <row r="333" ht="28.8" customHeight="1">
      <c r="A333" s="5" t="n">
        <v>332</v>
      </c>
      <c r="B333" s="5" t="inlineStr">
        <is>
          <t>Elderly</t>
        </is>
      </c>
      <c r="C333" s="5" t="n">
        <v>1</v>
      </c>
      <c r="D333" s="5" t="inlineStr">
        <is>
          <t>Arizona</t>
        </is>
      </c>
      <c r="E333" s="5" t="n">
        <v>2</v>
      </c>
      <c r="F333" s="5" t="n">
        <v>82092</v>
      </c>
      <c r="G333" s="5" t="inlineStr">
        <is>
          <t>Strongly disagree</t>
        </is>
      </c>
      <c r="H333" s="5">
        <f>IF(C333=1, "Male", "Female")</f>
        <v/>
      </c>
      <c r="I333" s="5">
        <f>IF(E333=0, "No children", "At least one child")</f>
        <v/>
      </c>
      <c r="J333" s="5">
        <f>IF(F333&lt;40000, "Less than 40K", IF(F333&lt;=70000, "Between 40K and 70K", IF(F333&lt;=100000, "Between 70K and 100K", "Greater than 100K")))</f>
        <v/>
      </c>
      <c r="K333" s="5">
        <f>IF(G333="Strongly disagree", 1, IF(G333="Disagree", 2, IF(G333="Neutral", 3, IF(G333="Agree", 4, IF(G333="Strongly agree", 5, 0)))))</f>
        <v/>
      </c>
    </row>
    <row r="334">
      <c r="A334" s="5" t="n">
        <v>333</v>
      </c>
      <c r="B334" s="5" t="inlineStr">
        <is>
          <t>Young</t>
        </is>
      </c>
      <c r="C334" s="5" t="n">
        <v>1</v>
      </c>
      <c r="D334" s="5" t="inlineStr">
        <is>
          <t>Virginia</t>
        </is>
      </c>
      <c r="E334" s="5" t="n">
        <v>2</v>
      </c>
      <c r="F334" s="5" t="n">
        <v>36607</v>
      </c>
      <c r="G334" s="5" t="inlineStr">
        <is>
          <t>Neutral</t>
        </is>
      </c>
      <c r="H334" s="5">
        <f>IF(C334=1, "Male", "Female")</f>
        <v/>
      </c>
      <c r="I334" s="5">
        <f>IF(E334=0, "No children", "At least one child")</f>
        <v/>
      </c>
      <c r="J334" s="5">
        <f>IF(F334&lt;40000, "Less than 40K", IF(F334&lt;=70000, "Between 40K and 70K", IF(F334&lt;=100000, "Between 70K and 100K", "Greater than 100K")))</f>
        <v/>
      </c>
      <c r="K334" s="5">
        <f>IF(G334="Strongly disagree", 1, IF(G334="Disagree", 2, IF(G334="Neutral", 3, IF(G334="Agree", 4, IF(G334="Strongly agree", 5, 0)))))</f>
        <v/>
      </c>
    </row>
    <row r="335" ht="28.8" customHeight="1">
      <c r="A335" s="5" t="n">
        <v>334</v>
      </c>
      <c r="B335" s="5" t="inlineStr">
        <is>
          <t>Elderly</t>
        </is>
      </c>
      <c r="C335" s="5" t="n">
        <v>2</v>
      </c>
      <c r="D335" s="5" t="inlineStr">
        <is>
          <t>Ohio</t>
        </is>
      </c>
      <c r="E335" s="5" t="n">
        <v>2</v>
      </c>
      <c r="F335" s="5" t="n">
        <v>78030</v>
      </c>
      <c r="G335" s="5" t="inlineStr">
        <is>
          <t>Strongly disagree</t>
        </is>
      </c>
      <c r="H335" s="5">
        <f>IF(C335=1, "Male", "Female")</f>
        <v/>
      </c>
      <c r="I335" s="5">
        <f>IF(E335=0, "No children", "At least one child")</f>
        <v/>
      </c>
      <c r="J335" s="5">
        <f>IF(F335&lt;40000, "Less than 40K", IF(F335&lt;=70000, "Between 40K and 70K", IF(F335&lt;=100000, "Between 70K and 100K", "Greater than 100K")))</f>
        <v/>
      </c>
      <c r="K335" s="5">
        <f>IF(G335="Strongly disagree", 1, IF(G335="Disagree", 2, IF(G335="Neutral", 3, IF(G335="Agree", 4, IF(G335="Strongly agree", 5, 0)))))</f>
        <v/>
      </c>
    </row>
    <row r="336" ht="28.8" customHeight="1">
      <c r="A336" s="5" t="n">
        <v>335</v>
      </c>
      <c r="B336" s="5" t="inlineStr">
        <is>
          <t>Young</t>
        </is>
      </c>
      <c r="C336" s="5" t="n">
        <v>1</v>
      </c>
      <c r="D336" s="5" t="inlineStr">
        <is>
          <t>Michigan</t>
        </is>
      </c>
      <c r="E336" s="5" t="n">
        <v>1</v>
      </c>
      <c r="F336" s="5" t="n">
        <v>48225</v>
      </c>
      <c r="G336" s="5" t="inlineStr">
        <is>
          <t>Neutral</t>
        </is>
      </c>
      <c r="H336" s="5">
        <f>IF(C336=1, "Male", "Female")</f>
        <v/>
      </c>
      <c r="I336" s="5">
        <f>IF(E336=0, "No children", "At least one child")</f>
        <v/>
      </c>
      <c r="J336" s="5">
        <f>IF(F336&lt;40000, "Less than 40K", IF(F336&lt;=70000, "Between 40K and 70K", IF(F336&lt;=100000, "Between 70K and 100K", "Greater than 100K")))</f>
        <v/>
      </c>
      <c r="K336" s="5">
        <f>IF(G336="Strongly disagree", 1, IF(G336="Disagree", 2, IF(G336="Neutral", 3, IF(G336="Agree", 4, IF(G336="Strongly agree", 5, 0)))))</f>
        <v/>
      </c>
    </row>
    <row r="337" ht="28.8" customHeight="1">
      <c r="A337" s="5" t="n">
        <v>336</v>
      </c>
      <c r="B337" s="5" t="inlineStr">
        <is>
          <t>Elderly</t>
        </is>
      </c>
      <c r="C337" s="5" t="n">
        <v>1</v>
      </c>
      <c r="D337" s="5" t="inlineStr">
        <is>
          <t>New York</t>
        </is>
      </c>
      <c r="E337" s="5" t="n">
        <v>0</v>
      </c>
      <c r="F337" s="5" t="n">
        <v>91183</v>
      </c>
      <c r="G337" s="5" t="inlineStr">
        <is>
          <t>Strongly disagree</t>
        </is>
      </c>
      <c r="H337" s="5">
        <f>IF(C337=1, "Male", "Female")</f>
        <v/>
      </c>
      <c r="I337" s="5">
        <f>IF(E337=0, "No children", "At least one child")</f>
        <v/>
      </c>
      <c r="J337" s="5">
        <f>IF(F337&lt;40000, "Less than 40K", IF(F337&lt;=70000, "Between 40K and 70K", IF(F337&lt;=100000, "Between 70K and 100K", "Greater than 100K")))</f>
        <v/>
      </c>
      <c r="K337" s="5">
        <f>IF(G337="Strongly disagree", 1, IF(G337="Disagree", 2, IF(G337="Neutral", 3, IF(G337="Agree", 4, IF(G337="Strongly agree", 5, 0)))))</f>
        <v/>
      </c>
    </row>
    <row r="338" ht="28.8" customHeight="1">
      <c r="A338" s="5" t="n">
        <v>337</v>
      </c>
      <c r="B338" s="5" t="inlineStr">
        <is>
          <t>Elderly</t>
        </is>
      </c>
      <c r="C338" s="5" t="n">
        <v>2</v>
      </c>
      <c r="D338" s="5" t="inlineStr">
        <is>
          <t>Texas</t>
        </is>
      </c>
      <c r="E338" s="5" t="n">
        <v>0</v>
      </c>
      <c r="F338" s="5" t="n">
        <v>78850</v>
      </c>
      <c r="G338" s="5" t="inlineStr">
        <is>
          <t>Disagree</t>
        </is>
      </c>
      <c r="H338" s="5">
        <f>IF(C338=1, "Male", "Female")</f>
        <v/>
      </c>
      <c r="I338" s="5">
        <f>IF(E338=0, "No children", "At least one child")</f>
        <v/>
      </c>
      <c r="J338" s="5">
        <f>IF(F338&lt;40000, "Less than 40K", IF(F338&lt;=70000, "Between 40K and 70K", IF(F338&lt;=100000, "Between 70K and 100K", "Greater than 100K")))</f>
        <v/>
      </c>
      <c r="K338" s="5">
        <f>IF(G338="Strongly disagree", 1, IF(G338="Disagree", 2, IF(G338="Neutral", 3, IF(G338="Agree", 4, IF(G338="Strongly agree", 5, 0)))))</f>
        <v/>
      </c>
    </row>
    <row r="339" ht="28.8" customHeight="1">
      <c r="A339" s="5" t="n">
        <v>338</v>
      </c>
      <c r="B339" s="5" t="inlineStr">
        <is>
          <t>Middle-aged</t>
        </is>
      </c>
      <c r="C339" s="5" t="n">
        <v>2</v>
      </c>
      <c r="D339" s="5" t="inlineStr">
        <is>
          <t>Illinois</t>
        </is>
      </c>
      <c r="E339" s="5" t="n">
        <v>2</v>
      </c>
      <c r="F339" s="5" t="n">
        <v>70903</v>
      </c>
      <c r="G339" s="5" t="inlineStr">
        <is>
          <t>Agree</t>
        </is>
      </c>
      <c r="H339" s="5">
        <f>IF(C339=1, "Male", "Female")</f>
        <v/>
      </c>
      <c r="I339" s="5">
        <f>IF(E339=0, "No children", "At least one child")</f>
        <v/>
      </c>
      <c r="J339" s="5">
        <f>IF(F339&lt;40000, "Less than 40K", IF(F339&lt;=70000, "Between 40K and 70K", IF(F339&lt;=100000, "Between 70K and 100K", "Greater than 100K")))</f>
        <v/>
      </c>
      <c r="K339" s="5">
        <f>IF(G339="Strongly disagree", 1, IF(G339="Disagree", 2, IF(G339="Neutral", 3, IF(G339="Agree", 4, IF(G339="Strongly agree", 5, 0)))))</f>
        <v/>
      </c>
    </row>
    <row r="340" ht="28.8" customHeight="1">
      <c r="A340" s="5" t="n">
        <v>339</v>
      </c>
      <c r="B340" s="5" t="inlineStr">
        <is>
          <t>Middle-aged</t>
        </is>
      </c>
      <c r="C340" s="5" t="n">
        <v>2</v>
      </c>
      <c r="D340" s="5" t="inlineStr">
        <is>
          <t>Texas</t>
        </is>
      </c>
      <c r="E340" s="5" t="n">
        <v>2</v>
      </c>
      <c r="F340" s="5" t="n">
        <v>116079</v>
      </c>
      <c r="G340" s="5" t="inlineStr">
        <is>
          <t>Disagree</t>
        </is>
      </c>
      <c r="H340" s="5">
        <f>IF(C340=1, "Male", "Female")</f>
        <v/>
      </c>
      <c r="I340" s="5">
        <f>IF(E340=0, "No children", "At least one child")</f>
        <v/>
      </c>
      <c r="J340" s="5">
        <f>IF(F340&lt;40000, "Less than 40K", IF(F340&lt;=70000, "Between 40K and 70K", IF(F340&lt;=100000, "Between 70K and 100K", "Greater than 100K")))</f>
        <v/>
      </c>
      <c r="K340" s="5">
        <f>IF(G340="Strongly disagree", 1, IF(G340="Disagree", 2, IF(G340="Neutral", 3, IF(G340="Agree", 4, IF(G340="Strongly agree", 5, 0)))))</f>
        <v/>
      </c>
    </row>
    <row r="341">
      <c r="A341" s="5" t="n">
        <v>340</v>
      </c>
      <c r="B341" s="5" t="inlineStr">
        <is>
          <t>Young</t>
        </is>
      </c>
      <c r="C341" s="5" t="n">
        <v>2</v>
      </c>
      <c r="D341" s="5" t="inlineStr">
        <is>
          <t>Virginia</t>
        </is>
      </c>
      <c r="E341" s="5" t="n">
        <v>2</v>
      </c>
      <c r="F341" s="5" t="n">
        <v>38258</v>
      </c>
      <c r="G341" s="5" t="inlineStr">
        <is>
          <t>Neutral</t>
        </is>
      </c>
      <c r="H341" s="5">
        <f>IF(C341=1, "Male", "Female")</f>
        <v/>
      </c>
      <c r="I341" s="5">
        <f>IF(E341=0, "No children", "At least one child")</f>
        <v/>
      </c>
      <c r="J341" s="5">
        <f>IF(F341&lt;40000, "Less than 40K", IF(F341&lt;=70000, "Between 40K and 70K", IF(F341&lt;=100000, "Between 70K and 100K", "Greater than 100K")))</f>
        <v/>
      </c>
      <c r="K341" s="5">
        <f>IF(G341="Strongly disagree", 1, IF(G341="Disagree", 2, IF(G341="Neutral", 3, IF(G341="Agree", 4, IF(G341="Strongly agree", 5, 0)))))</f>
        <v/>
      </c>
    </row>
    <row r="342" ht="28.8" customHeight="1">
      <c r="A342" s="5" t="n">
        <v>341</v>
      </c>
      <c r="B342" s="5" t="inlineStr">
        <is>
          <t>Middle-aged</t>
        </is>
      </c>
      <c r="C342" s="5" t="n">
        <v>2</v>
      </c>
      <c r="D342" s="5" t="inlineStr">
        <is>
          <t>Illinois</t>
        </is>
      </c>
      <c r="E342" s="5" t="n">
        <v>0</v>
      </c>
      <c r="F342" s="5" t="n">
        <v>80701</v>
      </c>
      <c r="G342" s="5" t="inlineStr">
        <is>
          <t>Disagree</t>
        </is>
      </c>
      <c r="H342" s="5">
        <f>IF(C342=1, "Male", "Female")</f>
        <v/>
      </c>
      <c r="I342" s="5">
        <f>IF(E342=0, "No children", "At least one child")</f>
        <v/>
      </c>
      <c r="J342" s="5">
        <f>IF(F342&lt;40000, "Less than 40K", IF(F342&lt;=70000, "Between 40K and 70K", IF(F342&lt;=100000, "Between 70K and 100K", "Greater than 100K")))</f>
        <v/>
      </c>
      <c r="K342" s="5">
        <f>IF(G342="Strongly disagree", 1, IF(G342="Disagree", 2, IF(G342="Neutral", 3, IF(G342="Agree", 4, IF(G342="Strongly agree", 5, 0)))))</f>
        <v/>
      </c>
    </row>
    <row r="343" ht="28.8" customHeight="1">
      <c r="A343" s="5" t="n">
        <v>342</v>
      </c>
      <c r="B343" s="5" t="inlineStr">
        <is>
          <t>Elderly</t>
        </is>
      </c>
      <c r="C343" s="5" t="n">
        <v>2</v>
      </c>
      <c r="D343" s="5" t="inlineStr">
        <is>
          <t>Minnesota</t>
        </is>
      </c>
      <c r="E343" s="5" t="n">
        <v>0</v>
      </c>
      <c r="F343" s="5" t="n">
        <v>75851</v>
      </c>
      <c r="G343" s="5" t="inlineStr">
        <is>
          <t>Strongly agree</t>
        </is>
      </c>
      <c r="H343" s="5">
        <f>IF(C343=1, "Male", "Female")</f>
        <v/>
      </c>
      <c r="I343" s="5">
        <f>IF(E343=0, "No children", "At least one child")</f>
        <v/>
      </c>
      <c r="J343" s="5">
        <f>IF(F343&lt;40000, "Less than 40K", IF(F343&lt;=70000, "Between 40K and 70K", IF(F343&lt;=100000, "Between 70K and 100K", "Greater than 100K")))</f>
        <v/>
      </c>
      <c r="K343" s="5">
        <f>IF(G343="Strongly disagree", 1, IF(G343="Disagree", 2, IF(G343="Neutral", 3, IF(G343="Agree", 4, IF(G343="Strongly agree", 5, 0)))))</f>
        <v/>
      </c>
    </row>
    <row r="344" ht="28.8" customHeight="1">
      <c r="A344" s="5" t="n">
        <v>343</v>
      </c>
      <c r="B344" s="5" t="inlineStr">
        <is>
          <t>Middle-aged</t>
        </is>
      </c>
      <c r="C344" s="5" t="n">
        <v>2</v>
      </c>
      <c r="D344" s="5" t="inlineStr">
        <is>
          <t>Ohio</t>
        </is>
      </c>
      <c r="E344" s="5" t="n">
        <v>1</v>
      </c>
      <c r="F344" s="5" t="n">
        <v>106828</v>
      </c>
      <c r="G344" s="5" t="inlineStr">
        <is>
          <t>Neutral</t>
        </is>
      </c>
      <c r="H344" s="5">
        <f>IF(C344=1, "Male", "Female")</f>
        <v/>
      </c>
      <c r="I344" s="5">
        <f>IF(E344=0, "No children", "At least one child")</f>
        <v/>
      </c>
      <c r="J344" s="5">
        <f>IF(F344&lt;40000, "Less than 40K", IF(F344&lt;=70000, "Between 40K and 70K", IF(F344&lt;=100000, "Between 70K and 100K", "Greater than 100K")))</f>
        <v/>
      </c>
      <c r="K344" s="5">
        <f>IF(G344="Strongly disagree", 1, IF(G344="Disagree", 2, IF(G344="Neutral", 3, IF(G344="Agree", 4, IF(G344="Strongly agree", 5, 0)))))</f>
        <v/>
      </c>
    </row>
    <row r="345" ht="28.8" customHeight="1">
      <c r="A345" s="5" t="n">
        <v>344</v>
      </c>
      <c r="B345" s="5" t="inlineStr">
        <is>
          <t>Young</t>
        </is>
      </c>
      <c r="C345" s="5" t="n">
        <v>1</v>
      </c>
      <c r="D345" s="5" t="inlineStr">
        <is>
          <t>Virginia</t>
        </is>
      </c>
      <c r="E345" s="5" t="n">
        <v>2</v>
      </c>
      <c r="F345" s="5" t="n">
        <v>44628</v>
      </c>
      <c r="G345" s="5" t="inlineStr">
        <is>
          <t>Neutral</t>
        </is>
      </c>
      <c r="H345" s="5">
        <f>IF(C345=1, "Male", "Female")</f>
        <v/>
      </c>
      <c r="I345" s="5">
        <f>IF(E345=0, "No children", "At least one child")</f>
        <v/>
      </c>
      <c r="J345" s="5">
        <f>IF(F345&lt;40000, "Less than 40K", IF(F345&lt;=70000, "Between 40K and 70K", IF(F345&lt;=100000, "Between 70K and 100K", "Greater than 100K")))</f>
        <v/>
      </c>
      <c r="K345" s="5">
        <f>IF(G345="Strongly disagree", 1, IF(G345="Disagree", 2, IF(G345="Neutral", 3, IF(G345="Agree", 4, IF(G345="Strongly agree", 5, 0)))))</f>
        <v/>
      </c>
    </row>
    <row r="346" ht="28.8" customHeight="1">
      <c r="A346" s="5" t="n">
        <v>345</v>
      </c>
      <c r="B346" s="5" t="inlineStr">
        <is>
          <t>Middle-aged</t>
        </is>
      </c>
      <c r="C346" s="5" t="n">
        <v>2</v>
      </c>
      <c r="D346" s="5" t="inlineStr">
        <is>
          <t>Arizona</t>
        </is>
      </c>
      <c r="E346" s="5" t="n">
        <v>1</v>
      </c>
      <c r="F346" s="5" t="n">
        <v>95833</v>
      </c>
      <c r="G346" s="5" t="inlineStr">
        <is>
          <t>Neutral</t>
        </is>
      </c>
      <c r="H346" s="5">
        <f>IF(C346=1, "Male", "Female")</f>
        <v/>
      </c>
      <c r="I346" s="5">
        <f>IF(E346=0, "No children", "At least one child")</f>
        <v/>
      </c>
      <c r="J346" s="5">
        <f>IF(F346&lt;40000, "Less than 40K", IF(F346&lt;=70000, "Between 40K and 70K", IF(F346&lt;=100000, "Between 70K and 100K", "Greater than 100K")))</f>
        <v/>
      </c>
      <c r="K346" s="5">
        <f>IF(G346="Strongly disagree", 1, IF(G346="Disagree", 2, IF(G346="Neutral", 3, IF(G346="Agree", 4, IF(G346="Strongly agree", 5, 0)))))</f>
        <v/>
      </c>
    </row>
    <row r="347" ht="28.8" customHeight="1">
      <c r="A347" s="5" t="n">
        <v>346</v>
      </c>
      <c r="B347" s="5" t="inlineStr">
        <is>
          <t>Elderly</t>
        </is>
      </c>
      <c r="C347" s="5" t="n">
        <v>2</v>
      </c>
      <c r="D347" s="5" t="inlineStr">
        <is>
          <t>New York</t>
        </is>
      </c>
      <c r="E347" s="5" t="n">
        <v>0</v>
      </c>
      <c r="F347" s="5" t="n">
        <v>64293</v>
      </c>
      <c r="G347" s="5" t="inlineStr">
        <is>
          <t>Agree</t>
        </is>
      </c>
      <c r="H347" s="5">
        <f>IF(C347=1, "Male", "Female")</f>
        <v/>
      </c>
      <c r="I347" s="5">
        <f>IF(E347=0, "No children", "At least one child")</f>
        <v/>
      </c>
      <c r="J347" s="5">
        <f>IF(F347&lt;40000, "Less than 40K", IF(F347&lt;=70000, "Between 40K and 70K", IF(F347&lt;=100000, "Between 70K and 100K", "Greater than 100K")))</f>
        <v/>
      </c>
      <c r="K347" s="5">
        <f>IF(G347="Strongly disagree", 1, IF(G347="Disagree", 2, IF(G347="Neutral", 3, IF(G347="Agree", 4, IF(G347="Strongly agree", 5, 0)))))</f>
        <v/>
      </c>
    </row>
    <row r="348" ht="28.8" customHeight="1">
      <c r="A348" s="5" t="n">
        <v>347</v>
      </c>
      <c r="B348" s="5" t="inlineStr">
        <is>
          <t>Middle-aged</t>
        </is>
      </c>
      <c r="C348" s="5" t="n">
        <v>2</v>
      </c>
      <c r="D348" s="5" t="inlineStr">
        <is>
          <t>New York</t>
        </is>
      </c>
      <c r="E348" s="5" t="n">
        <v>2</v>
      </c>
      <c r="F348" s="5" t="n">
        <v>52008</v>
      </c>
      <c r="G348" s="5" t="inlineStr">
        <is>
          <t>Strongly disagree</t>
        </is>
      </c>
      <c r="H348" s="5">
        <f>IF(C348=1, "Male", "Female")</f>
        <v/>
      </c>
      <c r="I348" s="5">
        <f>IF(E348=0, "No children", "At least one child")</f>
        <v/>
      </c>
      <c r="J348" s="5">
        <f>IF(F348&lt;40000, "Less than 40K", IF(F348&lt;=70000, "Between 40K and 70K", IF(F348&lt;=100000, "Between 70K and 100K", "Greater than 100K")))</f>
        <v/>
      </c>
      <c r="K348" s="5">
        <f>IF(G348="Strongly disagree", 1, IF(G348="Disagree", 2, IF(G348="Neutral", 3, IF(G348="Agree", 4, IF(G348="Strongly agree", 5, 0)))))</f>
        <v/>
      </c>
    </row>
    <row r="349" ht="28.8" customHeight="1">
      <c r="A349" s="5" t="n">
        <v>348</v>
      </c>
      <c r="B349" s="5" t="inlineStr">
        <is>
          <t>Middle-aged</t>
        </is>
      </c>
      <c r="C349" s="5" t="n">
        <v>2</v>
      </c>
      <c r="D349" s="5" t="inlineStr">
        <is>
          <t>Michigan</t>
        </is>
      </c>
      <c r="E349" s="5" t="n">
        <v>0</v>
      </c>
      <c r="F349" s="5" t="n">
        <v>91531</v>
      </c>
      <c r="G349" s="5" t="inlineStr">
        <is>
          <t>Strongly agree</t>
        </is>
      </c>
      <c r="H349" s="5">
        <f>IF(C349=1, "Male", "Female")</f>
        <v/>
      </c>
      <c r="I349" s="5">
        <f>IF(E349=0, "No children", "At least one child")</f>
        <v/>
      </c>
      <c r="J349" s="5">
        <f>IF(F349&lt;40000, "Less than 40K", IF(F349&lt;=70000, "Between 40K and 70K", IF(F349&lt;=100000, "Between 70K and 100K", "Greater than 100K")))</f>
        <v/>
      </c>
      <c r="K349" s="5">
        <f>IF(G349="Strongly disagree", 1, IF(G349="Disagree", 2, IF(G349="Neutral", 3, IF(G349="Agree", 4, IF(G349="Strongly agree", 5, 0)))))</f>
        <v/>
      </c>
    </row>
    <row r="350" ht="28.8" customHeight="1">
      <c r="A350" s="5" t="n">
        <v>349</v>
      </c>
      <c r="B350" s="5" t="inlineStr">
        <is>
          <t>Middle-aged</t>
        </is>
      </c>
      <c r="C350" s="5" t="n">
        <v>1</v>
      </c>
      <c r="D350" s="5" t="inlineStr">
        <is>
          <t>California</t>
        </is>
      </c>
      <c r="E350" s="5" t="n">
        <v>1</v>
      </c>
      <c r="F350" s="5" t="n">
        <v>108418</v>
      </c>
      <c r="G350" s="5" t="inlineStr">
        <is>
          <t>Strongly agree</t>
        </is>
      </c>
      <c r="H350" s="5">
        <f>IF(C350=1, "Male", "Female")</f>
        <v/>
      </c>
      <c r="I350" s="5">
        <f>IF(E350=0, "No children", "At least one child")</f>
        <v/>
      </c>
      <c r="J350" s="5">
        <f>IF(F350&lt;40000, "Less than 40K", IF(F350&lt;=70000, "Between 40K and 70K", IF(F350&lt;=100000, "Between 70K and 100K", "Greater than 100K")))</f>
        <v/>
      </c>
      <c r="K350" s="5">
        <f>IF(G350="Strongly disagree", 1, IF(G350="Disagree", 2, IF(G350="Neutral", 3, IF(G350="Agree", 4, IF(G350="Strongly agree", 5, 0)))))</f>
        <v/>
      </c>
    </row>
    <row r="351" ht="28.8" customHeight="1">
      <c r="A351" s="5" t="n">
        <v>350</v>
      </c>
      <c r="B351" s="5" t="inlineStr">
        <is>
          <t>Middle-aged</t>
        </is>
      </c>
      <c r="C351" s="5" t="n">
        <v>2</v>
      </c>
      <c r="D351" s="5" t="inlineStr">
        <is>
          <t>Florida</t>
        </is>
      </c>
      <c r="E351" s="5" t="n">
        <v>0</v>
      </c>
      <c r="F351" s="5" t="n">
        <v>48975</v>
      </c>
      <c r="G351" s="5" t="inlineStr">
        <is>
          <t>Disagree</t>
        </is>
      </c>
      <c r="H351" s="5">
        <f>IF(C351=1, "Male", "Female")</f>
        <v/>
      </c>
      <c r="I351" s="5">
        <f>IF(E351=0, "No children", "At least one child")</f>
        <v/>
      </c>
      <c r="J351" s="5">
        <f>IF(F351&lt;40000, "Less than 40K", IF(F351&lt;=70000, "Between 40K and 70K", IF(F351&lt;=100000, "Between 70K and 100K", "Greater than 100K")))</f>
        <v/>
      </c>
      <c r="K351" s="5">
        <f>IF(G351="Strongly disagree", 1, IF(G351="Disagree", 2, IF(G351="Neutral", 3, IF(G351="Agree", 4, IF(G351="Strongly agree", 5, 0)))))</f>
        <v/>
      </c>
    </row>
    <row r="352" ht="28.8" customHeight="1">
      <c r="A352" s="5" t="n">
        <v>351</v>
      </c>
      <c r="B352" s="5" t="inlineStr">
        <is>
          <t>Young</t>
        </is>
      </c>
      <c r="C352" s="5" t="n">
        <v>2</v>
      </c>
      <c r="D352" s="5" t="inlineStr">
        <is>
          <t>Arizona</t>
        </is>
      </c>
      <c r="E352" s="5" t="n">
        <v>1</v>
      </c>
      <c r="F352" s="5" t="n">
        <v>49687</v>
      </c>
      <c r="G352" s="5" t="inlineStr">
        <is>
          <t>Agree</t>
        </is>
      </c>
      <c r="H352" s="5">
        <f>IF(C352=1, "Male", "Female")</f>
        <v/>
      </c>
      <c r="I352" s="5">
        <f>IF(E352=0, "No children", "At least one child")</f>
        <v/>
      </c>
      <c r="J352" s="5">
        <f>IF(F352&lt;40000, "Less than 40K", IF(F352&lt;=70000, "Between 40K and 70K", IF(F352&lt;=100000, "Between 70K and 100K", "Greater than 100K")))</f>
        <v/>
      </c>
      <c r="K352" s="5">
        <f>IF(G352="Strongly disagree", 1, IF(G352="Disagree", 2, IF(G352="Neutral", 3, IF(G352="Agree", 4, IF(G352="Strongly agree", 5, 0)))))</f>
        <v/>
      </c>
    </row>
    <row r="353" ht="28.8" customHeight="1">
      <c r="A353" s="5" t="n">
        <v>352</v>
      </c>
      <c r="B353" s="5" t="inlineStr">
        <is>
          <t>Young</t>
        </is>
      </c>
      <c r="C353" s="5" t="n">
        <v>1</v>
      </c>
      <c r="D353" s="5" t="inlineStr">
        <is>
          <t>New York</t>
        </is>
      </c>
      <c r="E353" s="5" t="n">
        <v>2</v>
      </c>
      <c r="F353" s="5" t="n">
        <v>44964</v>
      </c>
      <c r="G353" s="5" t="inlineStr">
        <is>
          <t>Strongly disagree</t>
        </is>
      </c>
      <c r="H353" s="5">
        <f>IF(C353=1, "Male", "Female")</f>
        <v/>
      </c>
      <c r="I353" s="5">
        <f>IF(E353=0, "No children", "At least one child")</f>
        <v/>
      </c>
      <c r="J353" s="5">
        <f>IF(F353&lt;40000, "Less than 40K", IF(F353&lt;=70000, "Between 40K and 70K", IF(F353&lt;=100000, "Between 70K and 100K", "Greater than 100K")))</f>
        <v/>
      </c>
      <c r="K353" s="5">
        <f>IF(G353="Strongly disagree", 1, IF(G353="Disagree", 2, IF(G353="Neutral", 3, IF(G353="Agree", 4, IF(G353="Strongly agree", 5, 0)))))</f>
        <v/>
      </c>
    </row>
    <row r="354" ht="28.8" customHeight="1">
      <c r="A354" s="5" t="n">
        <v>353</v>
      </c>
      <c r="B354" s="5" t="inlineStr">
        <is>
          <t>Middle-aged</t>
        </is>
      </c>
      <c r="C354" s="5" t="n">
        <v>2</v>
      </c>
      <c r="D354" s="5" t="inlineStr">
        <is>
          <t>Illinois</t>
        </is>
      </c>
      <c r="E354" s="5" t="n">
        <v>2</v>
      </c>
      <c r="F354" s="5" t="n">
        <v>94679</v>
      </c>
      <c r="G354" s="5" t="inlineStr">
        <is>
          <t>Disagree</t>
        </is>
      </c>
      <c r="H354" s="5">
        <f>IF(C354=1, "Male", "Female")</f>
        <v/>
      </c>
      <c r="I354" s="5">
        <f>IF(E354=0, "No children", "At least one child")</f>
        <v/>
      </c>
      <c r="J354" s="5">
        <f>IF(F354&lt;40000, "Less than 40K", IF(F354&lt;=70000, "Between 40K and 70K", IF(F354&lt;=100000, "Between 70K and 100K", "Greater than 100K")))</f>
        <v/>
      </c>
      <c r="K354" s="5">
        <f>IF(G354="Strongly disagree", 1, IF(G354="Disagree", 2, IF(G354="Neutral", 3, IF(G354="Agree", 4, IF(G354="Strongly agree", 5, 0)))))</f>
        <v/>
      </c>
    </row>
    <row r="355" ht="28.8" customHeight="1">
      <c r="A355" s="5" t="n">
        <v>354</v>
      </c>
      <c r="B355" s="5" t="inlineStr">
        <is>
          <t>Young</t>
        </is>
      </c>
      <c r="C355" s="5" t="n">
        <v>2</v>
      </c>
      <c r="D355" s="5" t="inlineStr">
        <is>
          <t>Ohio</t>
        </is>
      </c>
      <c r="E355" s="5" t="n">
        <v>2</v>
      </c>
      <c r="F355" s="5" t="n">
        <v>44511</v>
      </c>
      <c r="G355" s="5" t="inlineStr">
        <is>
          <t>Agree</t>
        </is>
      </c>
      <c r="H355" s="5">
        <f>IF(C355=1, "Male", "Female")</f>
        <v/>
      </c>
      <c r="I355" s="5">
        <f>IF(E355=0, "No children", "At least one child")</f>
        <v/>
      </c>
      <c r="J355" s="5">
        <f>IF(F355&lt;40000, "Less than 40K", IF(F355&lt;=70000, "Between 40K and 70K", IF(F355&lt;=100000, "Between 70K and 100K", "Greater than 100K")))</f>
        <v/>
      </c>
      <c r="K355" s="5">
        <f>IF(G355="Strongly disagree", 1, IF(G355="Disagree", 2, IF(G355="Neutral", 3, IF(G355="Agree", 4, IF(G355="Strongly agree", 5, 0)))))</f>
        <v/>
      </c>
    </row>
    <row r="356" ht="28.8" customHeight="1">
      <c r="A356" s="5" t="n">
        <v>355</v>
      </c>
      <c r="B356" s="5" t="inlineStr">
        <is>
          <t>Middle-aged</t>
        </is>
      </c>
      <c r="C356" s="5" t="n">
        <v>1</v>
      </c>
      <c r="D356" s="5" t="inlineStr">
        <is>
          <t>New York</t>
        </is>
      </c>
      <c r="E356" s="5" t="n">
        <v>2</v>
      </c>
      <c r="F356" s="5" t="n">
        <v>85886</v>
      </c>
      <c r="G356" s="5" t="inlineStr">
        <is>
          <t>Strongly agree</t>
        </is>
      </c>
      <c r="H356" s="5">
        <f>IF(C356=1, "Male", "Female")</f>
        <v/>
      </c>
      <c r="I356" s="5">
        <f>IF(E356=0, "No children", "At least one child")</f>
        <v/>
      </c>
      <c r="J356" s="5">
        <f>IF(F356&lt;40000, "Less than 40K", IF(F356&lt;=70000, "Between 40K and 70K", IF(F356&lt;=100000, "Between 70K and 100K", "Greater than 100K")))</f>
        <v/>
      </c>
      <c r="K356" s="5">
        <f>IF(G356="Strongly disagree", 1, IF(G356="Disagree", 2, IF(G356="Neutral", 3, IF(G356="Agree", 4, IF(G356="Strongly agree", 5, 0)))))</f>
        <v/>
      </c>
    </row>
    <row r="357" ht="28.8" customHeight="1">
      <c r="A357" s="5" t="n">
        <v>356</v>
      </c>
      <c r="B357" s="5" t="inlineStr">
        <is>
          <t>Young</t>
        </is>
      </c>
      <c r="C357" s="5" t="n">
        <v>1</v>
      </c>
      <c r="D357" s="5" t="inlineStr">
        <is>
          <t>Virginia</t>
        </is>
      </c>
      <c r="E357" s="5" t="n">
        <v>1</v>
      </c>
      <c r="F357" s="5" t="n">
        <v>50729</v>
      </c>
      <c r="G357" s="5" t="inlineStr">
        <is>
          <t>Strongly agree</t>
        </is>
      </c>
      <c r="H357" s="5">
        <f>IF(C357=1, "Male", "Female")</f>
        <v/>
      </c>
      <c r="I357" s="5">
        <f>IF(E357=0, "No children", "At least one child")</f>
        <v/>
      </c>
      <c r="J357" s="5">
        <f>IF(F357&lt;40000, "Less than 40K", IF(F357&lt;=70000, "Between 40K and 70K", IF(F357&lt;=100000, "Between 70K and 100K", "Greater than 100K")))</f>
        <v/>
      </c>
      <c r="K357" s="5">
        <f>IF(G357="Strongly disagree", 1, IF(G357="Disagree", 2, IF(G357="Neutral", 3, IF(G357="Agree", 4, IF(G357="Strongly agree", 5, 0)))))</f>
        <v/>
      </c>
    </row>
    <row r="358" ht="28.8" customHeight="1">
      <c r="A358" s="5" t="n">
        <v>357</v>
      </c>
      <c r="B358" s="5" t="inlineStr">
        <is>
          <t>Middle-aged</t>
        </is>
      </c>
      <c r="C358" s="5" t="n">
        <v>2</v>
      </c>
      <c r="D358" s="5" t="inlineStr">
        <is>
          <t>California</t>
        </is>
      </c>
      <c r="E358" s="5" t="n">
        <v>2</v>
      </c>
      <c r="F358" s="5" t="n">
        <v>78689</v>
      </c>
      <c r="G358" s="5" t="inlineStr">
        <is>
          <t>Strongly agree</t>
        </is>
      </c>
      <c r="H358" s="5">
        <f>IF(C358=1, "Male", "Female")</f>
        <v/>
      </c>
      <c r="I358" s="5">
        <f>IF(E358=0, "No children", "At least one child")</f>
        <v/>
      </c>
      <c r="J358" s="5">
        <f>IF(F358&lt;40000, "Less than 40K", IF(F358&lt;=70000, "Between 40K and 70K", IF(F358&lt;=100000, "Between 70K and 100K", "Greater than 100K")))</f>
        <v/>
      </c>
      <c r="K358" s="5">
        <f>IF(G358="Strongly disagree", 1, IF(G358="Disagree", 2, IF(G358="Neutral", 3, IF(G358="Agree", 4, IF(G358="Strongly agree", 5, 0)))))</f>
        <v/>
      </c>
    </row>
    <row r="359" ht="28.8" customHeight="1">
      <c r="A359" s="5" t="n">
        <v>358</v>
      </c>
      <c r="B359" s="5" t="inlineStr">
        <is>
          <t>Middle-aged</t>
        </is>
      </c>
      <c r="C359" s="5" t="n">
        <v>2</v>
      </c>
      <c r="D359" s="5" t="inlineStr">
        <is>
          <t>Ohio</t>
        </is>
      </c>
      <c r="E359" s="5" t="n">
        <v>0</v>
      </c>
      <c r="F359" s="5" t="n">
        <v>102405</v>
      </c>
      <c r="G359" s="5" t="inlineStr">
        <is>
          <t>Strongly disagree</t>
        </is>
      </c>
      <c r="H359" s="5">
        <f>IF(C359=1, "Male", "Female")</f>
        <v/>
      </c>
      <c r="I359" s="5">
        <f>IF(E359=0, "No children", "At least one child")</f>
        <v/>
      </c>
      <c r="J359" s="5">
        <f>IF(F359&lt;40000, "Less than 40K", IF(F359&lt;=70000, "Between 40K and 70K", IF(F359&lt;=100000, "Between 70K and 100K", "Greater than 100K")))</f>
        <v/>
      </c>
      <c r="K359" s="5">
        <f>IF(G359="Strongly disagree", 1, IF(G359="Disagree", 2, IF(G359="Neutral", 3, IF(G359="Agree", 4, IF(G359="Strongly agree", 5, 0)))))</f>
        <v/>
      </c>
    </row>
    <row r="360" ht="28.8" customHeight="1">
      <c r="A360" s="5" t="n">
        <v>359</v>
      </c>
      <c r="B360" s="5" t="inlineStr">
        <is>
          <t>Young</t>
        </is>
      </c>
      <c r="C360" s="5" t="n">
        <v>2</v>
      </c>
      <c r="D360" s="5" t="inlineStr">
        <is>
          <t>Texas</t>
        </is>
      </c>
      <c r="E360" s="5" t="n">
        <v>2</v>
      </c>
      <c r="F360" s="5" t="n">
        <v>69785</v>
      </c>
      <c r="G360" s="5" t="inlineStr">
        <is>
          <t>Disagree</t>
        </is>
      </c>
      <c r="H360" s="5">
        <f>IF(C360=1, "Male", "Female")</f>
        <v/>
      </c>
      <c r="I360" s="5">
        <f>IF(E360=0, "No children", "At least one child")</f>
        <v/>
      </c>
      <c r="J360" s="5">
        <f>IF(F360&lt;40000, "Less than 40K", IF(F360&lt;=70000, "Between 40K and 70K", IF(F360&lt;=100000, "Between 70K and 100K", "Greater than 100K")))</f>
        <v/>
      </c>
      <c r="K360" s="5">
        <f>IF(G360="Strongly disagree", 1, IF(G360="Disagree", 2, IF(G360="Neutral", 3, IF(G360="Agree", 4, IF(G360="Strongly agree", 5, 0)))))</f>
        <v/>
      </c>
    </row>
    <row r="361" ht="28.8" customHeight="1">
      <c r="A361" s="5" t="n">
        <v>360</v>
      </c>
      <c r="B361" s="5" t="inlineStr">
        <is>
          <t>Middle-aged</t>
        </is>
      </c>
      <c r="C361" s="5" t="n">
        <v>2</v>
      </c>
      <c r="D361" s="5" t="inlineStr">
        <is>
          <t>Virginia</t>
        </is>
      </c>
      <c r="E361" s="5" t="n">
        <v>2</v>
      </c>
      <c r="F361" s="5" t="n">
        <v>132655</v>
      </c>
      <c r="G361" s="5" t="inlineStr">
        <is>
          <t>Strongly disagree</t>
        </is>
      </c>
      <c r="H361" s="5">
        <f>IF(C361=1, "Male", "Female")</f>
        <v/>
      </c>
      <c r="I361" s="5">
        <f>IF(E361=0, "No children", "At least one child")</f>
        <v/>
      </c>
      <c r="J361" s="5">
        <f>IF(F361&lt;40000, "Less than 40K", IF(F361&lt;=70000, "Between 40K and 70K", IF(F361&lt;=100000, "Between 70K and 100K", "Greater than 100K")))</f>
        <v/>
      </c>
      <c r="K361" s="5">
        <f>IF(G361="Strongly disagree", 1, IF(G361="Disagree", 2, IF(G361="Neutral", 3, IF(G361="Agree", 4, IF(G361="Strongly agree", 5, 0)))))</f>
        <v/>
      </c>
    </row>
    <row r="362" ht="28.8" customHeight="1">
      <c r="A362" s="5" t="n">
        <v>361</v>
      </c>
      <c r="B362" s="5" t="inlineStr">
        <is>
          <t>Elderly</t>
        </is>
      </c>
      <c r="C362" s="5" t="n">
        <v>2</v>
      </c>
      <c r="D362" s="5" t="inlineStr">
        <is>
          <t>Minnesota</t>
        </is>
      </c>
      <c r="E362" s="5" t="n">
        <v>2</v>
      </c>
      <c r="F362" s="5" t="n">
        <v>83433</v>
      </c>
      <c r="G362" s="5" t="inlineStr">
        <is>
          <t>Strongly agree</t>
        </is>
      </c>
      <c r="H362" s="5">
        <f>IF(C362=1, "Male", "Female")</f>
        <v/>
      </c>
      <c r="I362" s="5">
        <f>IF(E362=0, "No children", "At least one child")</f>
        <v/>
      </c>
      <c r="J362" s="5">
        <f>IF(F362&lt;40000, "Less than 40K", IF(F362&lt;=70000, "Between 40K and 70K", IF(F362&lt;=100000, "Between 70K and 100K", "Greater than 100K")))</f>
        <v/>
      </c>
      <c r="K362" s="5">
        <f>IF(G362="Strongly disagree", 1, IF(G362="Disagree", 2, IF(G362="Neutral", 3, IF(G362="Agree", 4, IF(G362="Strongly agree", 5, 0)))))</f>
        <v/>
      </c>
    </row>
    <row r="363" ht="28.8" customHeight="1">
      <c r="A363" s="5" t="n">
        <v>362</v>
      </c>
      <c r="B363" s="5" t="inlineStr">
        <is>
          <t>Middle-aged</t>
        </is>
      </c>
      <c r="C363" s="5" t="n">
        <v>2</v>
      </c>
      <c r="D363" s="5" t="inlineStr">
        <is>
          <t>Texas</t>
        </is>
      </c>
      <c r="E363" s="5" t="n">
        <v>0</v>
      </c>
      <c r="F363" s="5" t="n">
        <v>85489</v>
      </c>
      <c r="G363" s="5" t="inlineStr">
        <is>
          <t>Agree</t>
        </is>
      </c>
      <c r="H363" s="5">
        <f>IF(C363=1, "Male", "Female")</f>
        <v/>
      </c>
      <c r="I363" s="5">
        <f>IF(E363=0, "No children", "At least one child")</f>
        <v/>
      </c>
      <c r="J363" s="5">
        <f>IF(F363&lt;40000, "Less than 40K", IF(F363&lt;=70000, "Between 40K and 70K", IF(F363&lt;=100000, "Between 70K and 100K", "Greater than 100K")))</f>
        <v/>
      </c>
      <c r="K363" s="5">
        <f>IF(G363="Strongly disagree", 1, IF(G363="Disagree", 2, IF(G363="Neutral", 3, IF(G363="Agree", 4, IF(G363="Strongly agree", 5, 0)))))</f>
        <v/>
      </c>
    </row>
    <row r="364" ht="28.8" customHeight="1">
      <c r="A364" s="5" t="n">
        <v>363</v>
      </c>
      <c r="B364" s="5" t="inlineStr">
        <is>
          <t>Elderly</t>
        </is>
      </c>
      <c r="C364" s="5" t="n">
        <v>2</v>
      </c>
      <c r="D364" s="5" t="inlineStr">
        <is>
          <t>Michigan</t>
        </is>
      </c>
      <c r="E364" s="5" t="n">
        <v>1</v>
      </c>
      <c r="F364" s="5" t="n">
        <v>64844</v>
      </c>
      <c r="G364" s="5" t="inlineStr">
        <is>
          <t>Strongly disagree</t>
        </is>
      </c>
      <c r="H364" s="5">
        <f>IF(C364=1, "Male", "Female")</f>
        <v/>
      </c>
      <c r="I364" s="5">
        <f>IF(E364=0, "No children", "At least one child")</f>
        <v/>
      </c>
      <c r="J364" s="5">
        <f>IF(F364&lt;40000, "Less than 40K", IF(F364&lt;=70000, "Between 40K and 70K", IF(F364&lt;=100000, "Between 70K and 100K", "Greater than 100K")))</f>
        <v/>
      </c>
      <c r="K364" s="5">
        <f>IF(G364="Strongly disagree", 1, IF(G364="Disagree", 2, IF(G364="Neutral", 3, IF(G364="Agree", 4, IF(G364="Strongly agree", 5, 0)))))</f>
        <v/>
      </c>
    </row>
    <row r="365" ht="28.8" customHeight="1">
      <c r="A365" s="5" t="n">
        <v>364</v>
      </c>
      <c r="B365" s="5" t="inlineStr">
        <is>
          <t>Young</t>
        </is>
      </c>
      <c r="C365" s="5" t="n">
        <v>1</v>
      </c>
      <c r="D365" s="5" t="inlineStr">
        <is>
          <t>Arizona</t>
        </is>
      </c>
      <c r="E365" s="5" t="n">
        <v>3</v>
      </c>
      <c r="F365" s="5" t="n">
        <v>42300</v>
      </c>
      <c r="G365" s="5" t="inlineStr">
        <is>
          <t>Disagree</t>
        </is>
      </c>
      <c r="H365" s="5">
        <f>IF(C365=1, "Male", "Female")</f>
        <v/>
      </c>
      <c r="I365" s="5">
        <f>IF(E365=0, "No children", "At least one child")</f>
        <v/>
      </c>
      <c r="J365" s="5">
        <f>IF(F365&lt;40000, "Less than 40K", IF(F365&lt;=70000, "Between 40K and 70K", IF(F365&lt;=100000, "Between 70K and 100K", "Greater than 100K")))</f>
        <v/>
      </c>
      <c r="K365" s="5">
        <f>IF(G365="Strongly disagree", 1, IF(G365="Disagree", 2, IF(G365="Neutral", 3, IF(G365="Agree", 4, IF(G365="Strongly agree", 5, 0)))))</f>
        <v/>
      </c>
    </row>
    <row r="366" ht="28.8" customHeight="1">
      <c r="A366" s="5" t="n">
        <v>365</v>
      </c>
      <c r="B366" s="5" t="inlineStr">
        <is>
          <t>Middle-aged</t>
        </is>
      </c>
      <c r="C366" s="5" t="n">
        <v>2</v>
      </c>
      <c r="D366" s="5" t="inlineStr">
        <is>
          <t>Michigan</t>
        </is>
      </c>
      <c r="E366" s="5" t="n">
        <v>2</v>
      </c>
      <c r="F366" s="5" t="n">
        <v>109819</v>
      </c>
      <c r="G366" s="5" t="inlineStr">
        <is>
          <t>Agree</t>
        </is>
      </c>
      <c r="H366" s="5">
        <f>IF(C366=1, "Male", "Female")</f>
        <v/>
      </c>
      <c r="I366" s="5">
        <f>IF(E366=0, "No children", "At least one child")</f>
        <v/>
      </c>
      <c r="J366" s="5">
        <f>IF(F366&lt;40000, "Less than 40K", IF(F366&lt;=70000, "Between 40K and 70K", IF(F366&lt;=100000, "Between 70K and 100K", "Greater than 100K")))</f>
        <v/>
      </c>
      <c r="K366" s="5">
        <f>IF(G366="Strongly disagree", 1, IF(G366="Disagree", 2, IF(G366="Neutral", 3, IF(G366="Agree", 4, IF(G366="Strongly agree", 5, 0)))))</f>
        <v/>
      </c>
    </row>
    <row r="367" ht="28.8" customHeight="1">
      <c r="A367" s="5" t="n">
        <v>366</v>
      </c>
      <c r="B367" s="5" t="inlineStr">
        <is>
          <t>Elderly</t>
        </is>
      </c>
      <c r="C367" s="5" t="n">
        <v>1</v>
      </c>
      <c r="D367" s="5" t="inlineStr">
        <is>
          <t>Virginia</t>
        </is>
      </c>
      <c r="E367" s="5" t="n">
        <v>0</v>
      </c>
      <c r="F367" s="5" t="n">
        <v>68506</v>
      </c>
      <c r="G367" s="5" t="inlineStr">
        <is>
          <t>Strongly agree</t>
        </is>
      </c>
      <c r="H367" s="5">
        <f>IF(C367=1, "Male", "Female")</f>
        <v/>
      </c>
      <c r="I367" s="5">
        <f>IF(E367=0, "No children", "At least one child")</f>
        <v/>
      </c>
      <c r="J367" s="5">
        <f>IF(F367&lt;40000, "Less than 40K", IF(F367&lt;=70000, "Between 40K and 70K", IF(F367&lt;=100000, "Between 70K and 100K", "Greater than 100K")))</f>
        <v/>
      </c>
      <c r="K367" s="5">
        <f>IF(G367="Strongly disagree", 1, IF(G367="Disagree", 2, IF(G367="Neutral", 3, IF(G367="Agree", 4, IF(G367="Strongly agree", 5, 0)))))</f>
        <v/>
      </c>
    </row>
    <row r="368">
      <c r="A368" s="5" t="n">
        <v>367</v>
      </c>
      <c r="B368" s="5" t="inlineStr">
        <is>
          <t>Middle-aged</t>
        </is>
      </c>
      <c r="C368" s="5" t="n">
        <v>1</v>
      </c>
      <c r="D368" s="5" t="inlineStr">
        <is>
          <t>Illinois</t>
        </is>
      </c>
      <c r="E368" s="5" t="n">
        <v>0</v>
      </c>
      <c r="F368" s="5" t="n">
        <v>38235</v>
      </c>
      <c r="G368" s="5" t="inlineStr">
        <is>
          <t>Strongly agree</t>
        </is>
      </c>
      <c r="H368" s="5">
        <f>IF(C368=1, "Male", "Female")</f>
        <v/>
      </c>
      <c r="I368" s="5">
        <f>IF(E368=0, "No children", "At least one child")</f>
        <v/>
      </c>
      <c r="J368" s="5">
        <f>IF(F368&lt;40000, "Less than 40K", IF(F368&lt;=70000, "Between 40K and 70K", IF(F368&lt;=100000, "Between 70K and 100K", "Greater than 100K")))</f>
        <v/>
      </c>
      <c r="K368" s="5">
        <f>IF(G368="Strongly disagree", 1, IF(G368="Disagree", 2, IF(G368="Neutral", 3, IF(G368="Agree", 4, IF(G368="Strongly agree", 5, 0)))))</f>
        <v/>
      </c>
    </row>
    <row r="369" ht="28.8" customHeight="1">
      <c r="A369" s="5" t="n">
        <v>368</v>
      </c>
      <c r="B369" s="5" t="inlineStr">
        <is>
          <t>Middle-aged</t>
        </is>
      </c>
      <c r="C369" s="5" t="n">
        <v>2</v>
      </c>
      <c r="D369" s="5" t="inlineStr">
        <is>
          <t>Florida</t>
        </is>
      </c>
      <c r="E369" s="5" t="n">
        <v>2</v>
      </c>
      <c r="F369" s="5" t="n">
        <v>84146</v>
      </c>
      <c r="G369" s="5" t="inlineStr">
        <is>
          <t>Agree</t>
        </is>
      </c>
      <c r="H369" s="5">
        <f>IF(C369=1, "Male", "Female")</f>
        <v/>
      </c>
      <c r="I369" s="5">
        <f>IF(E369=0, "No children", "At least one child")</f>
        <v/>
      </c>
      <c r="J369" s="5">
        <f>IF(F369&lt;40000, "Less than 40K", IF(F369&lt;=70000, "Between 40K and 70K", IF(F369&lt;=100000, "Between 70K and 100K", "Greater than 100K")))</f>
        <v/>
      </c>
      <c r="K369" s="5">
        <f>IF(G369="Strongly disagree", 1, IF(G369="Disagree", 2, IF(G369="Neutral", 3, IF(G369="Agree", 4, IF(G369="Strongly agree", 5, 0)))))</f>
        <v/>
      </c>
    </row>
    <row r="370" ht="28.8" customHeight="1">
      <c r="A370" s="5" t="n">
        <v>369</v>
      </c>
      <c r="B370" s="5" t="inlineStr">
        <is>
          <t>Middle-aged</t>
        </is>
      </c>
      <c r="C370" s="5" t="n">
        <v>1</v>
      </c>
      <c r="D370" s="5" t="inlineStr">
        <is>
          <t>Virginia</t>
        </is>
      </c>
      <c r="E370" s="5" t="n">
        <v>2</v>
      </c>
      <c r="F370" s="5" t="n">
        <v>94455</v>
      </c>
      <c r="G370" s="5" t="inlineStr">
        <is>
          <t>Strongly agree</t>
        </is>
      </c>
      <c r="H370" s="5">
        <f>IF(C370=1, "Male", "Female")</f>
        <v/>
      </c>
      <c r="I370" s="5">
        <f>IF(E370=0, "No children", "At least one child")</f>
        <v/>
      </c>
      <c r="J370" s="5">
        <f>IF(F370&lt;40000, "Less than 40K", IF(F370&lt;=70000, "Between 40K and 70K", IF(F370&lt;=100000, "Between 70K and 100K", "Greater than 100K")))</f>
        <v/>
      </c>
      <c r="K370" s="5">
        <f>IF(G370="Strongly disagree", 1, IF(G370="Disagree", 2, IF(G370="Neutral", 3, IF(G370="Agree", 4, IF(G370="Strongly agree", 5, 0)))))</f>
        <v/>
      </c>
    </row>
    <row r="371" ht="28.8" customHeight="1">
      <c r="A371" s="5" t="n">
        <v>370</v>
      </c>
      <c r="B371" s="5" t="inlineStr">
        <is>
          <t>Middle-aged</t>
        </is>
      </c>
      <c r="C371" s="5" t="n">
        <v>1</v>
      </c>
      <c r="D371" s="5" t="inlineStr">
        <is>
          <t>California</t>
        </is>
      </c>
      <c r="E371" s="5" t="n">
        <v>1</v>
      </c>
      <c r="F371" s="5" t="n">
        <v>87854</v>
      </c>
      <c r="G371" s="5" t="inlineStr">
        <is>
          <t>Neutral</t>
        </is>
      </c>
      <c r="H371" s="5">
        <f>IF(C371=1, "Male", "Female")</f>
        <v/>
      </c>
      <c r="I371" s="5">
        <f>IF(E371=0, "No children", "At least one child")</f>
        <v/>
      </c>
      <c r="J371" s="5">
        <f>IF(F371&lt;40000, "Less than 40K", IF(F371&lt;=70000, "Between 40K and 70K", IF(F371&lt;=100000, "Between 70K and 100K", "Greater than 100K")))</f>
        <v/>
      </c>
      <c r="K371" s="5">
        <f>IF(G371="Strongly disagree", 1, IF(G371="Disagree", 2, IF(G371="Neutral", 3, IF(G371="Agree", 4, IF(G371="Strongly agree", 5, 0)))))</f>
        <v/>
      </c>
    </row>
    <row r="372" ht="28.8" customHeight="1">
      <c r="A372" s="5" t="n">
        <v>371</v>
      </c>
      <c r="B372" s="5" t="inlineStr">
        <is>
          <t>Elderly</t>
        </is>
      </c>
      <c r="C372" s="5" t="n">
        <v>1</v>
      </c>
      <c r="D372" s="5" t="inlineStr">
        <is>
          <t>Ohio</t>
        </is>
      </c>
      <c r="E372" s="5" t="n">
        <v>0</v>
      </c>
      <c r="F372" s="5" t="n">
        <v>64879</v>
      </c>
      <c r="G372" s="5" t="inlineStr">
        <is>
          <t>Neutral</t>
        </is>
      </c>
      <c r="H372" s="5">
        <f>IF(C372=1, "Male", "Female")</f>
        <v/>
      </c>
      <c r="I372" s="5">
        <f>IF(E372=0, "No children", "At least one child")</f>
        <v/>
      </c>
      <c r="J372" s="5">
        <f>IF(F372&lt;40000, "Less than 40K", IF(F372&lt;=70000, "Between 40K and 70K", IF(F372&lt;=100000, "Between 70K and 100K", "Greater than 100K")))</f>
        <v/>
      </c>
      <c r="K372" s="5">
        <f>IF(G372="Strongly disagree", 1, IF(G372="Disagree", 2, IF(G372="Neutral", 3, IF(G372="Agree", 4, IF(G372="Strongly agree", 5, 0)))))</f>
        <v/>
      </c>
    </row>
    <row r="373" ht="28.8" customHeight="1">
      <c r="A373" s="5" t="n">
        <v>372</v>
      </c>
      <c r="B373" s="5" t="inlineStr">
        <is>
          <t>Elderly</t>
        </is>
      </c>
      <c r="C373" s="5" t="n">
        <v>1</v>
      </c>
      <c r="D373" s="5" t="inlineStr">
        <is>
          <t>Illinois</t>
        </is>
      </c>
      <c r="E373" s="5" t="n">
        <v>2</v>
      </c>
      <c r="F373" s="5" t="n">
        <v>56140</v>
      </c>
      <c r="G373" s="5" t="inlineStr">
        <is>
          <t>Strongly disagree</t>
        </is>
      </c>
      <c r="H373" s="5">
        <f>IF(C373=1, "Male", "Female")</f>
        <v/>
      </c>
      <c r="I373" s="5">
        <f>IF(E373=0, "No children", "At least one child")</f>
        <v/>
      </c>
      <c r="J373" s="5">
        <f>IF(F373&lt;40000, "Less than 40K", IF(F373&lt;=70000, "Between 40K and 70K", IF(F373&lt;=100000, "Between 70K and 100K", "Greater than 100K")))</f>
        <v/>
      </c>
      <c r="K373" s="5">
        <f>IF(G373="Strongly disagree", 1, IF(G373="Disagree", 2, IF(G373="Neutral", 3, IF(G373="Agree", 4, IF(G373="Strongly agree", 5, 0)))))</f>
        <v/>
      </c>
    </row>
    <row r="374" ht="28.8" customHeight="1">
      <c r="A374" s="5" t="n">
        <v>373</v>
      </c>
      <c r="B374" s="5" t="inlineStr">
        <is>
          <t>Middle-aged</t>
        </is>
      </c>
      <c r="C374" s="5" t="n">
        <v>1</v>
      </c>
      <c r="D374" s="5" t="inlineStr">
        <is>
          <t>Ohio</t>
        </is>
      </c>
      <c r="E374" s="5" t="n">
        <v>2</v>
      </c>
      <c r="F374" s="5" t="n">
        <v>90675</v>
      </c>
      <c r="G374" s="5" t="inlineStr">
        <is>
          <t>Agree</t>
        </is>
      </c>
      <c r="H374" s="5">
        <f>IF(C374=1, "Male", "Female")</f>
        <v/>
      </c>
      <c r="I374" s="5">
        <f>IF(E374=0, "No children", "At least one child")</f>
        <v/>
      </c>
      <c r="J374" s="5">
        <f>IF(F374&lt;40000, "Less than 40K", IF(F374&lt;=70000, "Between 40K and 70K", IF(F374&lt;=100000, "Between 70K and 100K", "Greater than 100K")))</f>
        <v/>
      </c>
      <c r="K374" s="5">
        <f>IF(G374="Strongly disagree", 1, IF(G374="Disagree", 2, IF(G374="Neutral", 3, IF(G374="Agree", 4, IF(G374="Strongly agree", 5, 0)))))</f>
        <v/>
      </c>
    </row>
    <row r="375" ht="28.8" customHeight="1">
      <c r="A375" s="5" t="n">
        <v>374</v>
      </c>
      <c r="B375" s="5" t="inlineStr">
        <is>
          <t>Middle-aged</t>
        </is>
      </c>
      <c r="C375" s="5" t="n">
        <v>2</v>
      </c>
      <c r="D375" s="5" t="inlineStr">
        <is>
          <t>Ohio</t>
        </is>
      </c>
      <c r="E375" s="5" t="n">
        <v>2</v>
      </c>
      <c r="F375" s="5" t="n">
        <v>109417</v>
      </c>
      <c r="G375" s="5" t="inlineStr">
        <is>
          <t>Agree</t>
        </is>
      </c>
      <c r="H375" s="5">
        <f>IF(C375=1, "Male", "Female")</f>
        <v/>
      </c>
      <c r="I375" s="5">
        <f>IF(E375=0, "No children", "At least one child")</f>
        <v/>
      </c>
      <c r="J375" s="5">
        <f>IF(F375&lt;40000, "Less than 40K", IF(F375&lt;=70000, "Between 40K and 70K", IF(F375&lt;=100000, "Between 70K and 100K", "Greater than 100K")))</f>
        <v/>
      </c>
      <c r="K375" s="5">
        <f>IF(G375="Strongly disagree", 1, IF(G375="Disagree", 2, IF(G375="Neutral", 3, IF(G375="Agree", 4, IF(G375="Strongly agree", 5, 0)))))</f>
        <v/>
      </c>
    </row>
    <row r="376" ht="28.8" customHeight="1">
      <c r="A376" s="5" t="n">
        <v>375</v>
      </c>
      <c r="B376" s="5" t="inlineStr">
        <is>
          <t>Elderly</t>
        </is>
      </c>
      <c r="C376" s="5" t="n">
        <v>2</v>
      </c>
      <c r="D376" s="5" t="inlineStr">
        <is>
          <t>New York</t>
        </is>
      </c>
      <c r="E376" s="5" t="n">
        <v>2</v>
      </c>
      <c r="F376" s="5" t="n">
        <v>79958</v>
      </c>
      <c r="G376" s="5" t="inlineStr">
        <is>
          <t>Neutral</t>
        </is>
      </c>
      <c r="H376" s="5">
        <f>IF(C376=1, "Male", "Female")</f>
        <v/>
      </c>
      <c r="I376" s="5">
        <f>IF(E376=0, "No children", "At least one child")</f>
        <v/>
      </c>
      <c r="J376" s="5">
        <f>IF(F376&lt;40000, "Less than 40K", IF(F376&lt;=70000, "Between 40K and 70K", IF(F376&lt;=100000, "Between 70K and 100K", "Greater than 100K")))</f>
        <v/>
      </c>
      <c r="K376" s="5">
        <f>IF(G376="Strongly disagree", 1, IF(G376="Disagree", 2, IF(G376="Neutral", 3, IF(G376="Agree", 4, IF(G376="Strongly agree", 5, 0)))))</f>
        <v/>
      </c>
    </row>
    <row r="377" ht="28.8" customHeight="1">
      <c r="A377" s="5" t="n">
        <v>376</v>
      </c>
      <c r="B377" s="5" t="inlineStr">
        <is>
          <t>Young</t>
        </is>
      </c>
      <c r="C377" s="5" t="n">
        <v>2</v>
      </c>
      <c r="D377" s="5" t="inlineStr">
        <is>
          <t>Arizona</t>
        </is>
      </c>
      <c r="E377" s="5" t="n">
        <v>0</v>
      </c>
      <c r="F377" s="5" t="n">
        <v>41126</v>
      </c>
      <c r="G377" s="5" t="inlineStr">
        <is>
          <t>Agree</t>
        </is>
      </c>
      <c r="H377" s="5">
        <f>IF(C377=1, "Male", "Female")</f>
        <v/>
      </c>
      <c r="I377" s="5">
        <f>IF(E377=0, "No children", "At least one child")</f>
        <v/>
      </c>
      <c r="J377" s="5">
        <f>IF(F377&lt;40000, "Less than 40K", IF(F377&lt;=70000, "Between 40K and 70K", IF(F377&lt;=100000, "Between 70K and 100K", "Greater than 100K")))</f>
        <v/>
      </c>
      <c r="K377" s="5">
        <f>IF(G377="Strongly disagree", 1, IF(G377="Disagree", 2, IF(G377="Neutral", 3, IF(G377="Agree", 4, IF(G377="Strongly agree", 5, 0)))))</f>
        <v/>
      </c>
    </row>
    <row r="378" ht="28.8" customHeight="1">
      <c r="A378" s="5" t="n">
        <v>377</v>
      </c>
      <c r="B378" s="5" t="inlineStr">
        <is>
          <t>Middle-aged</t>
        </is>
      </c>
      <c r="C378" s="5" t="n">
        <v>2</v>
      </c>
      <c r="D378" s="5" t="inlineStr">
        <is>
          <t>Illinois</t>
        </is>
      </c>
      <c r="E378" s="5" t="n">
        <v>1</v>
      </c>
      <c r="F378" s="5" t="n">
        <v>78374</v>
      </c>
      <c r="G378" s="5" t="inlineStr">
        <is>
          <t>Agree</t>
        </is>
      </c>
      <c r="H378" s="5">
        <f>IF(C378=1, "Male", "Female")</f>
        <v/>
      </c>
      <c r="I378" s="5">
        <f>IF(E378=0, "No children", "At least one child")</f>
        <v/>
      </c>
      <c r="J378" s="5">
        <f>IF(F378&lt;40000, "Less than 40K", IF(F378&lt;=70000, "Between 40K and 70K", IF(F378&lt;=100000, "Between 70K and 100K", "Greater than 100K")))</f>
        <v/>
      </c>
      <c r="K378" s="5">
        <f>IF(G378="Strongly disagree", 1, IF(G378="Disagree", 2, IF(G378="Neutral", 3, IF(G378="Agree", 4, IF(G378="Strongly agree", 5, 0)))))</f>
        <v/>
      </c>
    </row>
    <row r="379" ht="28.8" customHeight="1">
      <c r="A379" s="5" t="n">
        <v>378</v>
      </c>
      <c r="B379" s="5" t="inlineStr">
        <is>
          <t>Middle-aged</t>
        </is>
      </c>
      <c r="C379" s="5" t="n">
        <v>1</v>
      </c>
      <c r="D379" s="5" t="inlineStr">
        <is>
          <t>Michigan</t>
        </is>
      </c>
      <c r="E379" s="5" t="n">
        <v>0</v>
      </c>
      <c r="F379" s="5" t="n">
        <v>90021</v>
      </c>
      <c r="G379" s="5" t="inlineStr">
        <is>
          <t>Agree</t>
        </is>
      </c>
      <c r="H379" s="5">
        <f>IF(C379=1, "Male", "Female")</f>
        <v/>
      </c>
      <c r="I379" s="5">
        <f>IF(E379=0, "No children", "At least one child")</f>
        <v/>
      </c>
      <c r="J379" s="5">
        <f>IF(F379&lt;40000, "Less than 40K", IF(F379&lt;=70000, "Between 40K and 70K", IF(F379&lt;=100000, "Between 70K and 100K", "Greater than 100K")))</f>
        <v/>
      </c>
      <c r="K379" s="5">
        <f>IF(G379="Strongly disagree", 1, IF(G379="Disagree", 2, IF(G379="Neutral", 3, IF(G379="Agree", 4, IF(G379="Strongly agree", 5, 0)))))</f>
        <v/>
      </c>
    </row>
    <row r="380" ht="28.8" customHeight="1">
      <c r="A380" s="5" t="n">
        <v>379</v>
      </c>
      <c r="B380" s="5" t="inlineStr">
        <is>
          <t>Middle-aged</t>
        </is>
      </c>
      <c r="C380" s="5" t="n">
        <v>2</v>
      </c>
      <c r="D380" s="5" t="inlineStr">
        <is>
          <t>Florida</t>
        </is>
      </c>
      <c r="E380" s="5" t="n">
        <v>0</v>
      </c>
      <c r="F380" s="5" t="n">
        <v>86486</v>
      </c>
      <c r="G380" s="5" t="inlineStr">
        <is>
          <t>Agree</t>
        </is>
      </c>
      <c r="H380" s="5">
        <f>IF(C380=1, "Male", "Female")</f>
        <v/>
      </c>
      <c r="I380" s="5">
        <f>IF(E380=0, "No children", "At least one child")</f>
        <v/>
      </c>
      <c r="J380" s="5">
        <f>IF(F380&lt;40000, "Less than 40K", IF(F380&lt;=70000, "Between 40K and 70K", IF(F380&lt;=100000, "Between 70K and 100K", "Greater than 100K")))</f>
        <v/>
      </c>
      <c r="K380" s="5">
        <f>IF(G380="Strongly disagree", 1, IF(G380="Disagree", 2, IF(G380="Neutral", 3, IF(G380="Agree", 4, IF(G380="Strongly agree", 5, 0)))))</f>
        <v/>
      </c>
    </row>
    <row r="381" ht="28.8" customHeight="1">
      <c r="A381" s="5" t="n">
        <v>380</v>
      </c>
      <c r="B381" s="5" t="inlineStr">
        <is>
          <t>Elderly</t>
        </is>
      </c>
      <c r="C381" s="5" t="n">
        <v>2</v>
      </c>
      <c r="D381" s="5" t="inlineStr">
        <is>
          <t>Michigan</t>
        </is>
      </c>
      <c r="E381" s="5" t="n">
        <v>3</v>
      </c>
      <c r="F381" s="5" t="n">
        <v>95120</v>
      </c>
      <c r="G381" s="5" t="inlineStr">
        <is>
          <t>Strongly agree</t>
        </is>
      </c>
      <c r="H381" s="5">
        <f>IF(C381=1, "Male", "Female")</f>
        <v/>
      </c>
      <c r="I381" s="5">
        <f>IF(E381=0, "No children", "At least one child")</f>
        <v/>
      </c>
      <c r="J381" s="5">
        <f>IF(F381&lt;40000, "Less than 40K", IF(F381&lt;=70000, "Between 40K and 70K", IF(F381&lt;=100000, "Between 70K and 100K", "Greater than 100K")))</f>
        <v/>
      </c>
      <c r="K381" s="5">
        <f>IF(G381="Strongly disagree", 1, IF(G381="Disagree", 2, IF(G381="Neutral", 3, IF(G381="Agree", 4, IF(G381="Strongly agree", 5, 0)))))</f>
        <v/>
      </c>
    </row>
    <row r="382" ht="28.8" customHeight="1">
      <c r="A382" s="5" t="n">
        <v>381</v>
      </c>
      <c r="B382" s="5" t="inlineStr">
        <is>
          <t>Young</t>
        </is>
      </c>
      <c r="C382" s="5" t="n">
        <v>2</v>
      </c>
      <c r="D382" s="5" t="inlineStr">
        <is>
          <t>Virginia</t>
        </is>
      </c>
      <c r="E382" s="5" t="n">
        <v>2</v>
      </c>
      <c r="F382" s="5" t="n">
        <v>46198</v>
      </c>
      <c r="G382" s="5" t="inlineStr">
        <is>
          <t>Neutral</t>
        </is>
      </c>
      <c r="H382" s="5">
        <f>IF(C382=1, "Male", "Female")</f>
        <v/>
      </c>
      <c r="I382" s="5">
        <f>IF(E382=0, "No children", "At least one child")</f>
        <v/>
      </c>
      <c r="J382" s="5">
        <f>IF(F382&lt;40000, "Less than 40K", IF(F382&lt;=70000, "Between 40K and 70K", IF(F382&lt;=100000, "Between 70K and 100K", "Greater than 100K")))</f>
        <v/>
      </c>
      <c r="K382" s="5">
        <f>IF(G382="Strongly disagree", 1, IF(G382="Disagree", 2, IF(G382="Neutral", 3, IF(G382="Agree", 4, IF(G382="Strongly agree", 5, 0)))))</f>
        <v/>
      </c>
    </row>
    <row r="383" ht="28.8" customHeight="1">
      <c r="A383" s="5" t="n">
        <v>382</v>
      </c>
      <c r="B383" s="5" t="inlineStr">
        <is>
          <t>Middle-aged</t>
        </is>
      </c>
      <c r="C383" s="5" t="n">
        <v>1</v>
      </c>
      <c r="D383" s="5" t="inlineStr">
        <is>
          <t>Minnesota</t>
        </is>
      </c>
      <c r="E383" s="5" t="n">
        <v>0</v>
      </c>
      <c r="F383" s="5" t="n">
        <v>134634</v>
      </c>
      <c r="G383" s="5" t="inlineStr">
        <is>
          <t>Strongly agree</t>
        </is>
      </c>
      <c r="H383" s="5">
        <f>IF(C383=1, "Male", "Female")</f>
        <v/>
      </c>
      <c r="I383" s="5">
        <f>IF(E383=0, "No children", "At least one child")</f>
        <v/>
      </c>
      <c r="J383" s="5">
        <f>IF(F383&lt;40000, "Less than 40K", IF(F383&lt;=70000, "Between 40K and 70K", IF(F383&lt;=100000, "Between 70K and 100K", "Greater than 100K")))</f>
        <v/>
      </c>
      <c r="K383" s="5">
        <f>IF(G383="Strongly disagree", 1, IF(G383="Disagree", 2, IF(G383="Neutral", 3, IF(G383="Agree", 4, IF(G383="Strongly agree", 5, 0)))))</f>
        <v/>
      </c>
    </row>
    <row r="384" ht="28.8" customHeight="1">
      <c r="A384" s="5" t="n">
        <v>383</v>
      </c>
      <c r="B384" s="5" t="inlineStr">
        <is>
          <t>Young</t>
        </is>
      </c>
      <c r="C384" s="5" t="n">
        <v>2</v>
      </c>
      <c r="D384" s="5" t="inlineStr">
        <is>
          <t>Florida</t>
        </is>
      </c>
      <c r="E384" s="5" t="n">
        <v>2</v>
      </c>
      <c r="F384" s="5" t="n">
        <v>49538</v>
      </c>
      <c r="G384" s="5" t="inlineStr">
        <is>
          <t>Disagree</t>
        </is>
      </c>
      <c r="H384" s="5">
        <f>IF(C384=1, "Male", "Female")</f>
        <v/>
      </c>
      <c r="I384" s="5">
        <f>IF(E384=0, "No children", "At least one child")</f>
        <v/>
      </c>
      <c r="J384" s="5">
        <f>IF(F384&lt;40000, "Less than 40K", IF(F384&lt;=70000, "Between 40K and 70K", IF(F384&lt;=100000, "Between 70K and 100K", "Greater than 100K")))</f>
        <v/>
      </c>
      <c r="K384" s="5">
        <f>IF(G384="Strongly disagree", 1, IF(G384="Disagree", 2, IF(G384="Neutral", 3, IF(G384="Agree", 4, IF(G384="Strongly agree", 5, 0)))))</f>
        <v/>
      </c>
    </row>
    <row r="385" ht="28.8" customHeight="1">
      <c r="A385" s="5" t="n">
        <v>384</v>
      </c>
      <c r="B385" s="5" t="inlineStr">
        <is>
          <t>Middle-aged</t>
        </is>
      </c>
      <c r="C385" s="5" t="n">
        <v>2</v>
      </c>
      <c r="D385" s="5" t="inlineStr">
        <is>
          <t>Minnesota</t>
        </is>
      </c>
      <c r="E385" s="5" t="n">
        <v>1</v>
      </c>
      <c r="F385" s="5" t="n">
        <v>87254</v>
      </c>
      <c r="G385" s="5" t="inlineStr">
        <is>
          <t>Neutral</t>
        </is>
      </c>
      <c r="H385" s="5">
        <f>IF(C385=1, "Male", "Female")</f>
        <v/>
      </c>
      <c r="I385" s="5">
        <f>IF(E385=0, "No children", "At least one child")</f>
        <v/>
      </c>
      <c r="J385" s="5">
        <f>IF(F385&lt;40000, "Less than 40K", IF(F385&lt;=70000, "Between 40K and 70K", IF(F385&lt;=100000, "Between 70K and 100K", "Greater than 100K")))</f>
        <v/>
      </c>
      <c r="K385" s="5">
        <f>IF(G385="Strongly disagree", 1, IF(G385="Disagree", 2, IF(G385="Neutral", 3, IF(G385="Agree", 4, IF(G385="Strongly agree", 5, 0)))))</f>
        <v/>
      </c>
    </row>
    <row r="386" ht="28.8" customHeight="1">
      <c r="A386" s="5" t="n">
        <v>385</v>
      </c>
      <c r="B386" s="5" t="inlineStr">
        <is>
          <t>Middle-aged</t>
        </is>
      </c>
      <c r="C386" s="5" t="n">
        <v>1</v>
      </c>
      <c r="D386" s="5" t="inlineStr">
        <is>
          <t>New York</t>
        </is>
      </c>
      <c r="E386" s="5" t="n">
        <v>1</v>
      </c>
      <c r="F386" s="5" t="n">
        <v>78483</v>
      </c>
      <c r="G386" s="5" t="inlineStr">
        <is>
          <t>Agree</t>
        </is>
      </c>
      <c r="H386" s="5">
        <f>IF(C386=1, "Male", "Female")</f>
        <v/>
      </c>
      <c r="I386" s="5">
        <f>IF(E386=0, "No children", "At least one child")</f>
        <v/>
      </c>
      <c r="J386" s="5">
        <f>IF(F386&lt;40000, "Less than 40K", IF(F386&lt;=70000, "Between 40K and 70K", IF(F386&lt;=100000, "Between 70K and 100K", "Greater than 100K")))</f>
        <v/>
      </c>
      <c r="K386" s="5">
        <f>IF(G386="Strongly disagree", 1, IF(G386="Disagree", 2, IF(G386="Neutral", 3, IF(G386="Agree", 4, IF(G386="Strongly agree", 5, 0)))))</f>
        <v/>
      </c>
    </row>
    <row r="387" ht="28.8" customHeight="1">
      <c r="A387" s="5" t="n">
        <v>386</v>
      </c>
      <c r="B387" s="5" t="inlineStr">
        <is>
          <t>Elderly</t>
        </is>
      </c>
      <c r="C387" s="5" t="n">
        <v>1</v>
      </c>
      <c r="D387" s="5" t="inlineStr">
        <is>
          <t>Ohio</t>
        </is>
      </c>
      <c r="E387" s="5" t="n">
        <v>0</v>
      </c>
      <c r="F387" s="5" t="n">
        <v>80256</v>
      </c>
      <c r="G387" s="5" t="inlineStr">
        <is>
          <t>Neutral</t>
        </is>
      </c>
      <c r="H387" s="5">
        <f>IF(C387=1, "Male", "Female")</f>
        <v/>
      </c>
      <c r="I387" s="5">
        <f>IF(E387=0, "No children", "At least one child")</f>
        <v/>
      </c>
      <c r="J387" s="5">
        <f>IF(F387&lt;40000, "Less than 40K", IF(F387&lt;=70000, "Between 40K and 70K", IF(F387&lt;=100000, "Between 70K and 100K", "Greater than 100K")))</f>
        <v/>
      </c>
      <c r="K387" s="5">
        <f>IF(G387="Strongly disagree", 1, IF(G387="Disagree", 2, IF(G387="Neutral", 3, IF(G387="Agree", 4, IF(G387="Strongly agree", 5, 0)))))</f>
        <v/>
      </c>
    </row>
    <row r="388" ht="28.8" customHeight="1">
      <c r="A388" s="5" t="n">
        <v>387</v>
      </c>
      <c r="B388" s="5" t="inlineStr">
        <is>
          <t>Elderly</t>
        </is>
      </c>
      <c r="C388" s="5" t="n">
        <v>2</v>
      </c>
      <c r="D388" s="5" t="inlineStr">
        <is>
          <t>Ohio</t>
        </is>
      </c>
      <c r="E388" s="5" t="n">
        <v>2</v>
      </c>
      <c r="F388" s="5" t="n">
        <v>87059</v>
      </c>
      <c r="G388" s="5" t="inlineStr">
        <is>
          <t>Neutral</t>
        </is>
      </c>
      <c r="H388" s="5">
        <f>IF(C388=1, "Male", "Female")</f>
        <v/>
      </c>
      <c r="I388" s="5">
        <f>IF(E388=0, "No children", "At least one child")</f>
        <v/>
      </c>
      <c r="J388" s="5">
        <f>IF(F388&lt;40000, "Less than 40K", IF(F388&lt;=70000, "Between 40K and 70K", IF(F388&lt;=100000, "Between 70K and 100K", "Greater than 100K")))</f>
        <v/>
      </c>
      <c r="K388" s="5">
        <f>IF(G388="Strongly disagree", 1, IF(G388="Disagree", 2, IF(G388="Neutral", 3, IF(G388="Agree", 4, IF(G388="Strongly agree", 5, 0)))))</f>
        <v/>
      </c>
    </row>
    <row r="389" ht="28.8" customHeight="1">
      <c r="A389" s="5" t="n">
        <v>388</v>
      </c>
      <c r="B389" s="5" t="inlineStr">
        <is>
          <t>Young</t>
        </is>
      </c>
      <c r="C389" s="5" t="n">
        <v>1</v>
      </c>
      <c r="D389" s="5" t="inlineStr">
        <is>
          <t>Minnesota</t>
        </is>
      </c>
      <c r="E389" s="5" t="n">
        <v>1</v>
      </c>
      <c r="F389" s="5" t="n">
        <v>43918</v>
      </c>
      <c r="G389" s="5" t="inlineStr">
        <is>
          <t>Strongly agree</t>
        </is>
      </c>
      <c r="H389" s="5">
        <f>IF(C389=1, "Male", "Female")</f>
        <v/>
      </c>
      <c r="I389" s="5">
        <f>IF(E389=0, "No children", "At least one child")</f>
        <v/>
      </c>
      <c r="J389" s="5">
        <f>IF(F389&lt;40000, "Less than 40K", IF(F389&lt;=70000, "Between 40K and 70K", IF(F389&lt;=100000, "Between 70K and 100K", "Greater than 100K")))</f>
        <v/>
      </c>
      <c r="K389" s="5">
        <f>IF(G389="Strongly disagree", 1, IF(G389="Disagree", 2, IF(G389="Neutral", 3, IF(G389="Agree", 4, IF(G389="Strongly agree", 5, 0)))))</f>
        <v/>
      </c>
    </row>
    <row r="390" ht="28.8" customHeight="1">
      <c r="A390" s="5" t="n">
        <v>389</v>
      </c>
      <c r="B390" s="5" t="inlineStr">
        <is>
          <t>Middle-aged</t>
        </is>
      </c>
      <c r="C390" s="5" t="n">
        <v>2</v>
      </c>
      <c r="D390" s="5" t="inlineStr">
        <is>
          <t>Virginia</t>
        </is>
      </c>
      <c r="E390" s="5" t="n">
        <v>1</v>
      </c>
      <c r="F390" s="5" t="n">
        <v>80112</v>
      </c>
      <c r="G390" s="5" t="inlineStr">
        <is>
          <t>Strongly disagree</t>
        </is>
      </c>
      <c r="H390" s="5">
        <f>IF(C390=1, "Male", "Female")</f>
        <v/>
      </c>
      <c r="I390" s="5">
        <f>IF(E390=0, "No children", "At least one child")</f>
        <v/>
      </c>
      <c r="J390" s="5">
        <f>IF(F390&lt;40000, "Less than 40K", IF(F390&lt;=70000, "Between 40K and 70K", IF(F390&lt;=100000, "Between 70K and 100K", "Greater than 100K")))</f>
        <v/>
      </c>
      <c r="K390" s="5">
        <f>IF(G390="Strongly disagree", 1, IF(G390="Disagree", 2, IF(G390="Neutral", 3, IF(G390="Agree", 4, IF(G390="Strongly agree", 5, 0)))))</f>
        <v/>
      </c>
    </row>
    <row r="391" ht="28.8" customHeight="1">
      <c r="A391" s="5" t="n">
        <v>390</v>
      </c>
      <c r="B391" s="5" t="inlineStr">
        <is>
          <t>Young</t>
        </is>
      </c>
      <c r="C391" s="5" t="n">
        <v>2</v>
      </c>
      <c r="D391" s="5" t="inlineStr">
        <is>
          <t>Florida</t>
        </is>
      </c>
      <c r="E391" s="5" t="n">
        <v>2</v>
      </c>
      <c r="F391" s="5" t="n">
        <v>47293</v>
      </c>
      <c r="G391" s="5" t="inlineStr">
        <is>
          <t>Strongly disagree</t>
        </is>
      </c>
      <c r="H391" s="5">
        <f>IF(C391=1, "Male", "Female")</f>
        <v/>
      </c>
      <c r="I391" s="5">
        <f>IF(E391=0, "No children", "At least one child")</f>
        <v/>
      </c>
      <c r="J391" s="5">
        <f>IF(F391&lt;40000, "Less than 40K", IF(F391&lt;=70000, "Between 40K and 70K", IF(F391&lt;=100000, "Between 70K and 100K", "Greater than 100K")))</f>
        <v/>
      </c>
      <c r="K391" s="5">
        <f>IF(G391="Strongly disagree", 1, IF(G391="Disagree", 2, IF(G391="Neutral", 3, IF(G391="Agree", 4, IF(G391="Strongly agree", 5, 0)))))</f>
        <v/>
      </c>
    </row>
    <row r="392" ht="28.8" customHeight="1">
      <c r="A392" s="5" t="n">
        <v>391</v>
      </c>
      <c r="B392" s="5" t="inlineStr">
        <is>
          <t>Middle-aged</t>
        </is>
      </c>
      <c r="C392" s="5" t="n">
        <v>2</v>
      </c>
      <c r="D392" s="5" t="inlineStr">
        <is>
          <t>Texas</t>
        </is>
      </c>
      <c r="E392" s="5" t="n">
        <v>1</v>
      </c>
      <c r="F392" s="5" t="n">
        <v>72802</v>
      </c>
      <c r="G392" s="5" t="inlineStr">
        <is>
          <t>Agree</t>
        </is>
      </c>
      <c r="H392" s="5">
        <f>IF(C392=1, "Male", "Female")</f>
        <v/>
      </c>
      <c r="I392" s="5">
        <f>IF(E392=0, "No children", "At least one child")</f>
        <v/>
      </c>
      <c r="J392" s="5">
        <f>IF(F392&lt;40000, "Less than 40K", IF(F392&lt;=70000, "Between 40K and 70K", IF(F392&lt;=100000, "Between 70K and 100K", "Greater than 100K")))</f>
        <v/>
      </c>
      <c r="K392" s="5">
        <f>IF(G392="Strongly disagree", 1, IF(G392="Disagree", 2, IF(G392="Neutral", 3, IF(G392="Agree", 4, IF(G392="Strongly agree", 5, 0)))))</f>
        <v/>
      </c>
    </row>
    <row r="393" ht="28.8" customHeight="1">
      <c r="A393" s="5" t="n">
        <v>392</v>
      </c>
      <c r="B393" s="5" t="inlineStr">
        <is>
          <t>Young</t>
        </is>
      </c>
      <c r="C393" s="5" t="n">
        <v>1</v>
      </c>
      <c r="D393" s="5" t="inlineStr">
        <is>
          <t>Arizona</t>
        </is>
      </c>
      <c r="E393" s="5" t="n">
        <v>1</v>
      </c>
      <c r="F393" s="5" t="n">
        <v>50434</v>
      </c>
      <c r="G393" s="5" t="inlineStr">
        <is>
          <t>Strongly disagree</t>
        </is>
      </c>
      <c r="H393" s="5">
        <f>IF(C393=1, "Male", "Female")</f>
        <v/>
      </c>
      <c r="I393" s="5">
        <f>IF(E393=0, "No children", "At least one child")</f>
        <v/>
      </c>
      <c r="J393" s="5">
        <f>IF(F393&lt;40000, "Less than 40K", IF(F393&lt;=70000, "Between 40K and 70K", IF(F393&lt;=100000, "Between 70K and 100K", "Greater than 100K")))</f>
        <v/>
      </c>
      <c r="K393" s="5">
        <f>IF(G393="Strongly disagree", 1, IF(G393="Disagree", 2, IF(G393="Neutral", 3, IF(G393="Agree", 4, IF(G393="Strongly agree", 5, 0)))))</f>
        <v/>
      </c>
    </row>
    <row r="394" ht="28.8" customHeight="1">
      <c r="A394" s="5" t="n">
        <v>393</v>
      </c>
      <c r="B394" s="5" t="inlineStr">
        <is>
          <t>Middle-aged</t>
        </is>
      </c>
      <c r="C394" s="5" t="n">
        <v>1</v>
      </c>
      <c r="D394" s="5" t="inlineStr">
        <is>
          <t>Texas</t>
        </is>
      </c>
      <c r="E394" s="5" t="n">
        <v>3</v>
      </c>
      <c r="F394" s="5" t="n">
        <v>100403</v>
      </c>
      <c r="G394" s="5" t="inlineStr">
        <is>
          <t>Agree</t>
        </is>
      </c>
      <c r="H394" s="5">
        <f>IF(C394=1, "Male", "Female")</f>
        <v/>
      </c>
      <c r="I394" s="5">
        <f>IF(E394=0, "No children", "At least one child")</f>
        <v/>
      </c>
      <c r="J394" s="5">
        <f>IF(F394&lt;40000, "Less than 40K", IF(F394&lt;=70000, "Between 40K and 70K", IF(F394&lt;=100000, "Between 70K and 100K", "Greater than 100K")))</f>
        <v/>
      </c>
      <c r="K394" s="5">
        <f>IF(G394="Strongly disagree", 1, IF(G394="Disagree", 2, IF(G394="Neutral", 3, IF(G394="Agree", 4, IF(G394="Strongly agree", 5, 0)))))</f>
        <v/>
      </c>
    </row>
    <row r="395" ht="28.8" customHeight="1">
      <c r="A395" s="5" t="n">
        <v>394</v>
      </c>
      <c r="B395" s="5" t="inlineStr">
        <is>
          <t>Middle-aged</t>
        </is>
      </c>
      <c r="C395" s="5" t="n">
        <v>1</v>
      </c>
      <c r="D395" s="5" t="inlineStr">
        <is>
          <t>New York</t>
        </is>
      </c>
      <c r="E395" s="5" t="n">
        <v>2</v>
      </c>
      <c r="F395" s="5" t="n">
        <v>43644</v>
      </c>
      <c r="G395" s="5" t="inlineStr">
        <is>
          <t>Neutral</t>
        </is>
      </c>
      <c r="H395" s="5">
        <f>IF(C395=1, "Male", "Female")</f>
        <v/>
      </c>
      <c r="I395" s="5">
        <f>IF(E395=0, "No children", "At least one child")</f>
        <v/>
      </c>
      <c r="J395" s="5">
        <f>IF(F395&lt;40000, "Less than 40K", IF(F395&lt;=70000, "Between 40K and 70K", IF(F395&lt;=100000, "Between 70K and 100K", "Greater than 100K")))</f>
        <v/>
      </c>
      <c r="K395" s="5">
        <f>IF(G395="Strongly disagree", 1, IF(G395="Disagree", 2, IF(G395="Neutral", 3, IF(G395="Agree", 4, IF(G395="Strongly agree", 5, 0)))))</f>
        <v/>
      </c>
    </row>
    <row r="396" ht="28.8" customHeight="1">
      <c r="A396" s="5" t="n">
        <v>395</v>
      </c>
      <c r="B396" s="5" t="inlineStr">
        <is>
          <t>Middle-aged</t>
        </is>
      </c>
      <c r="C396" s="5" t="n">
        <v>2</v>
      </c>
      <c r="D396" s="5" t="inlineStr">
        <is>
          <t>California</t>
        </is>
      </c>
      <c r="E396" s="5" t="n">
        <v>0</v>
      </c>
      <c r="F396" s="5" t="n">
        <v>60715</v>
      </c>
      <c r="G396" s="5" t="inlineStr">
        <is>
          <t>Neutral</t>
        </is>
      </c>
      <c r="H396" s="5">
        <f>IF(C396=1, "Male", "Female")</f>
        <v/>
      </c>
      <c r="I396" s="5">
        <f>IF(E396=0, "No children", "At least one child")</f>
        <v/>
      </c>
      <c r="J396" s="5">
        <f>IF(F396&lt;40000, "Less than 40K", IF(F396&lt;=70000, "Between 40K and 70K", IF(F396&lt;=100000, "Between 70K and 100K", "Greater than 100K")))</f>
        <v/>
      </c>
      <c r="K396" s="5">
        <f>IF(G396="Strongly disagree", 1, IF(G396="Disagree", 2, IF(G396="Neutral", 3, IF(G396="Agree", 4, IF(G396="Strongly agree", 5, 0)))))</f>
        <v/>
      </c>
    </row>
    <row r="397" ht="28.8" customHeight="1">
      <c r="A397" s="5" t="n">
        <v>396</v>
      </c>
      <c r="B397" s="5" t="inlineStr">
        <is>
          <t>Middle-aged</t>
        </is>
      </c>
      <c r="C397" s="5" t="n">
        <v>1</v>
      </c>
      <c r="D397" s="5" t="inlineStr">
        <is>
          <t>Virginia</t>
        </is>
      </c>
      <c r="E397" s="5" t="n">
        <v>2</v>
      </c>
      <c r="F397" s="5" t="n">
        <v>91760</v>
      </c>
      <c r="G397" s="5" t="inlineStr">
        <is>
          <t>Disagree</t>
        </is>
      </c>
      <c r="H397" s="5">
        <f>IF(C397=1, "Male", "Female")</f>
        <v/>
      </c>
      <c r="I397" s="5">
        <f>IF(E397=0, "No children", "At least one child")</f>
        <v/>
      </c>
      <c r="J397" s="5">
        <f>IF(F397&lt;40000, "Less than 40K", IF(F397&lt;=70000, "Between 40K and 70K", IF(F397&lt;=100000, "Between 70K and 100K", "Greater than 100K")))</f>
        <v/>
      </c>
      <c r="K397" s="5">
        <f>IF(G397="Strongly disagree", 1, IF(G397="Disagree", 2, IF(G397="Neutral", 3, IF(G397="Agree", 4, IF(G397="Strongly agree", 5, 0)))))</f>
        <v/>
      </c>
    </row>
    <row r="398" ht="28.8" customHeight="1">
      <c r="A398" s="5" t="n">
        <v>397</v>
      </c>
      <c r="B398" s="5" t="inlineStr">
        <is>
          <t>Middle-aged</t>
        </is>
      </c>
      <c r="C398" s="5" t="n">
        <v>2</v>
      </c>
      <c r="D398" s="5" t="inlineStr">
        <is>
          <t>Arizona</t>
        </is>
      </c>
      <c r="E398" s="5" t="n">
        <v>1</v>
      </c>
      <c r="F398" s="5" t="n">
        <v>82558</v>
      </c>
      <c r="G398" s="5" t="inlineStr">
        <is>
          <t>Strongly disagree</t>
        </is>
      </c>
      <c r="H398" s="5">
        <f>IF(C398=1, "Male", "Female")</f>
        <v/>
      </c>
      <c r="I398" s="5">
        <f>IF(E398=0, "No children", "At least one child")</f>
        <v/>
      </c>
      <c r="J398" s="5">
        <f>IF(F398&lt;40000, "Less than 40K", IF(F398&lt;=70000, "Between 40K and 70K", IF(F398&lt;=100000, "Between 70K and 100K", "Greater than 100K")))</f>
        <v/>
      </c>
      <c r="K398" s="5">
        <f>IF(G398="Strongly disagree", 1, IF(G398="Disagree", 2, IF(G398="Neutral", 3, IF(G398="Agree", 4, IF(G398="Strongly agree", 5, 0)))))</f>
        <v/>
      </c>
    </row>
    <row r="399" ht="28.8" customHeight="1">
      <c r="A399" s="5" t="n">
        <v>398</v>
      </c>
      <c r="B399" s="5" t="inlineStr">
        <is>
          <t>Middle-aged</t>
        </is>
      </c>
      <c r="C399" s="5" t="n">
        <v>1</v>
      </c>
      <c r="D399" s="5" t="inlineStr">
        <is>
          <t>New York</t>
        </is>
      </c>
      <c r="E399" s="5" t="n">
        <v>1</v>
      </c>
      <c r="F399" s="5" t="n">
        <v>84880</v>
      </c>
      <c r="G399" s="5" t="inlineStr">
        <is>
          <t>Strongly agree</t>
        </is>
      </c>
      <c r="H399" s="5">
        <f>IF(C399=1, "Male", "Female")</f>
        <v/>
      </c>
      <c r="I399" s="5">
        <f>IF(E399=0, "No children", "At least one child")</f>
        <v/>
      </c>
      <c r="J399" s="5">
        <f>IF(F399&lt;40000, "Less than 40K", IF(F399&lt;=70000, "Between 40K and 70K", IF(F399&lt;=100000, "Between 70K and 100K", "Greater than 100K")))</f>
        <v/>
      </c>
      <c r="K399" s="5">
        <f>IF(G399="Strongly disagree", 1, IF(G399="Disagree", 2, IF(G399="Neutral", 3, IF(G399="Agree", 4, IF(G399="Strongly agree", 5, 0)))))</f>
        <v/>
      </c>
    </row>
    <row r="400" ht="28.8" customHeight="1">
      <c r="A400" s="5" t="n">
        <v>399</v>
      </c>
      <c r="B400" s="5" t="inlineStr">
        <is>
          <t>Middle-aged</t>
        </is>
      </c>
      <c r="C400" s="5" t="n">
        <v>2</v>
      </c>
      <c r="D400" s="5" t="inlineStr">
        <is>
          <t>Illinois</t>
        </is>
      </c>
      <c r="E400" s="5" t="n">
        <v>2</v>
      </c>
      <c r="F400" s="5" t="n">
        <v>76933</v>
      </c>
      <c r="G400" s="5" t="inlineStr">
        <is>
          <t>Strongly agree</t>
        </is>
      </c>
      <c r="H400" s="5">
        <f>IF(C400=1, "Male", "Female")</f>
        <v/>
      </c>
      <c r="I400" s="5">
        <f>IF(E400=0, "No children", "At least one child")</f>
        <v/>
      </c>
      <c r="J400" s="5">
        <f>IF(F400&lt;40000, "Less than 40K", IF(F400&lt;=70000, "Between 40K and 70K", IF(F400&lt;=100000, "Between 70K and 100K", "Greater than 100K")))</f>
        <v/>
      </c>
      <c r="K400" s="5">
        <f>IF(G400="Strongly disagree", 1, IF(G400="Disagree", 2, IF(G400="Neutral", 3, IF(G400="Agree", 4, IF(G400="Strongly agree", 5, 0)))))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95" workbookViewId="0">
      <selection activeCell="E59" sqref="E59"/>
    </sheetView>
  </sheetViews>
  <sheetFormatPr baseColWidth="8" defaultRowHeight="14.4"/>
  <cols>
    <col width="35.6640625" customWidth="1" min="1" max="1"/>
    <col width="100.6640625" customWidth="1" min="2" max="2"/>
  </cols>
  <sheetData>
    <row r="1">
      <c r="A1" s="4" t="inlineStr">
        <is>
          <t>Problem 3</t>
        </is>
      </c>
    </row>
    <row r="3">
      <c r="A3" s="1" t="inlineStr">
        <is>
          <t>a)</t>
        </is>
      </c>
      <c r="B3" s="1" t="n"/>
    </row>
    <row r="4">
      <c r="A4" s="3" t="inlineStr">
        <is>
          <t>Name categorical variables</t>
        </is>
      </c>
      <c r="B4" s="3" t="inlineStr">
        <is>
          <t>Age, Gender, State, Opinion</t>
        </is>
      </c>
    </row>
    <row r="5">
      <c r="A5" s="5" t="inlineStr">
        <is>
          <t>Name nominal:</t>
        </is>
      </c>
      <c r="B5" s="5" t="inlineStr">
        <is>
          <t>Gender, State</t>
        </is>
      </c>
    </row>
    <row r="6">
      <c r="A6" s="3" t="inlineStr">
        <is>
          <t>Name ordinal:</t>
        </is>
      </c>
      <c r="B6" s="3" t="inlineStr">
        <is>
          <t>Age, Opinion</t>
        </is>
      </c>
    </row>
    <row r="9">
      <c r="A9" s="1" t="inlineStr">
        <is>
          <t>b)</t>
        </is>
      </c>
      <c r="B9" s="1" t="n"/>
    </row>
    <row r="10">
      <c r="A10" s="3" t="inlineStr">
        <is>
          <t>Column Chart</t>
        </is>
      </c>
    </row>
    <row r="12">
      <c r="A12" s="1" t="inlineStr">
        <is>
          <t>Age Group</t>
        </is>
      </c>
      <c r="B12" s="1" t="inlineStr">
        <is>
          <t>Frequency</t>
        </is>
      </c>
    </row>
    <row r="13">
      <c r="A13" s="3" t="inlineStr">
        <is>
          <t>Young</t>
        </is>
      </c>
      <c r="B13" s="3">
        <f>COUNTIF('Problem 3 Data'!B:B, A13)</f>
        <v/>
      </c>
    </row>
    <row r="14">
      <c r="A14" s="5" t="inlineStr">
        <is>
          <t>Middle-aged</t>
        </is>
      </c>
      <c r="B14" s="5">
        <f>COUNTIF('Problem 3 Data'!B:B, A14)</f>
        <v/>
      </c>
    </row>
    <row r="15">
      <c r="A15" s="3" t="inlineStr">
        <is>
          <t>Elderly</t>
        </is>
      </c>
      <c r="B15" s="3">
        <f>COUNTIF('Problem 3 Data'!B:B, A15)</f>
        <v/>
      </c>
    </row>
    <row r="16">
      <c r="A16" s="1" t="inlineStr">
        <is>
          <t>Total</t>
        </is>
      </c>
      <c r="B16" s="1">
        <f>SUM(B13:B15)</f>
        <v/>
      </c>
    </row>
    <row r="18">
      <c r="A18" s="5" t="inlineStr">
        <is>
          <t>The distribution shows that the majority of individuals in this dataset are categorized as Middle-aged (218), followed by Elderly (94) and Young (87).</t>
        </is>
      </c>
    </row>
    <row r="19"/>
    <row r="20"/>
    <row r="21"/>
    <row r="30">
      <c r="A30" s="1" t="inlineStr">
        <is>
          <t>c) Recoding Summary</t>
        </is>
      </c>
      <c r="B30" s="1" t="n"/>
    </row>
    <row r="32" ht="43.2" customHeight="1">
      <c r="A32" s="1" t="inlineStr">
        <is>
          <t>Gender</t>
        </is>
      </c>
      <c r="B32" s="5" t="inlineStr">
        <is>
          <t>The gender variable was recoded from numerical codes (1 and 2) to 'Male' and 'Female' to transform the raw identifier into meaningful, human-readable nominal categories. This makes the data immediately interpretable in future pivot tables or charts.</t>
        </is>
      </c>
    </row>
    <row r="34">
      <c r="A34" s="3" t="inlineStr">
        <is>
          <t>Gender</t>
        </is>
      </c>
      <c r="B34" s="3" t="inlineStr">
        <is>
          <t xml:space="preserve">                                                                                                      Count</t>
        </is>
      </c>
    </row>
    <row r="35">
      <c r="A35" s="5" t="inlineStr">
        <is>
          <t>Female</t>
        </is>
      </c>
      <c r="B35" s="5">
        <f>COUNTIF('Problem 3 Data'!H:H, A35)</f>
        <v/>
      </c>
    </row>
    <row r="36">
      <c r="A36" s="3" t="inlineStr">
        <is>
          <t>Male</t>
        </is>
      </c>
      <c r="B36" s="3">
        <f>COUNTIF('Problem 3 Data'!H:H, A36)</f>
        <v/>
      </c>
    </row>
    <row r="39" ht="43.2" customHeight="1">
      <c r="A39" s="1" t="inlineStr">
        <is>
          <t>Children</t>
        </is>
      </c>
      <c r="B39" s="5" t="inlineStr">
        <is>
          <t>The number of children was recoded into two categories: 'No children' (for 0) and 'At least one child' (for values 1 or greater). This converts a discrete quantitative variable into a binary nominal variable, which is highly useful in marketing analytics to isolate the spending habits of parents vs. non-parents.</t>
        </is>
      </c>
    </row>
    <row r="41">
      <c r="A41" s="3" t="inlineStr">
        <is>
          <t>Children Category</t>
        </is>
      </c>
      <c r="B41" s="3" t="inlineStr">
        <is>
          <t xml:space="preserve">                                                                                                            Count</t>
        </is>
      </c>
    </row>
    <row r="42">
      <c r="A42" s="5" t="inlineStr">
        <is>
          <t>At least one child</t>
        </is>
      </c>
      <c r="B42" s="5">
        <f>COUNTIF('Problem 3 Data'!I:I, A42)</f>
        <v/>
      </c>
    </row>
    <row r="43">
      <c r="A43" s="3" t="inlineStr">
        <is>
          <t>No children</t>
        </is>
      </c>
      <c r="B43" s="3">
        <f>COUNTIF('Problem 3 Data'!I:I, A43)</f>
        <v/>
      </c>
    </row>
    <row r="46" ht="43.2" customHeight="1">
      <c r="A46" s="1" t="inlineStr">
        <is>
          <t>Salary</t>
        </is>
      </c>
      <c r="B46" s="5" t="inlineStr">
        <is>
          <t>Salary values were grouped into four distinct categories (bins) using $30K intervals. This transforms a continuous quantitative variable into an ordinal categorical variable. Creating these structured income brackets allows us to easily segment customers into Low, Lower-Middle, Upper-Middle, and High-income tiers for demographic analysis.</t>
        </is>
      </c>
    </row>
    <row r="48">
      <c r="A48" s="3" t="inlineStr">
        <is>
          <t>Salary Category</t>
        </is>
      </c>
      <c r="B48" s="3" t="inlineStr">
        <is>
          <t xml:space="preserve">                                                                                                                Count</t>
        </is>
      </c>
    </row>
    <row r="49">
      <c r="A49" s="5" t="inlineStr">
        <is>
          <t>Less than 40K</t>
        </is>
      </c>
      <c r="B49" s="5">
        <f>COUNTIF('Problem 3 Data'!J:J, A49)</f>
        <v/>
      </c>
    </row>
    <row r="50">
      <c r="A50" s="3" t="inlineStr">
        <is>
          <t>Between 40K and 70K</t>
        </is>
      </c>
      <c r="B50" s="3">
        <f>COUNTIF('Problem 3 Data'!J:J, A50)</f>
        <v/>
      </c>
    </row>
    <row r="51">
      <c r="A51" s="5" t="inlineStr">
        <is>
          <t>Between 70K and 100K</t>
        </is>
      </c>
      <c r="B51" s="5">
        <f>COUNTIF('Problem 3 Data'!J:J, A51)</f>
        <v/>
      </c>
    </row>
    <row r="52">
      <c r="A52" s="3" t="inlineStr">
        <is>
          <t>Greater than 100K</t>
        </is>
      </c>
      <c r="B52" s="3">
        <f>COUNTIF('Problem 3 Data'!J:J, A52)</f>
        <v/>
      </c>
    </row>
    <row r="54" ht="43.2" customHeight="1">
      <c r="A54" s="1" t="inlineStr">
        <is>
          <t>Opinion</t>
        </is>
      </c>
      <c r="B54" s="5" t="inlineStr">
        <is>
          <t>The opinion responses were converted from text labels to numerical codes ranging from 1 to 5. This translates the qualitative Likert scale into ordinal numeric data, which is mathematically necessary if we want to calculate an 'average opinion' or run regression models on customer satisfaction.</t>
        </is>
      </c>
    </row>
    <row r="56">
      <c r="A56" s="3" t="inlineStr">
        <is>
          <t>Opinion Code</t>
        </is>
      </c>
      <c r="B56" s="3" t="inlineStr">
        <is>
          <t xml:space="preserve">                                                                                                                    Count</t>
        </is>
      </c>
    </row>
    <row r="57">
      <c r="A57" s="5" t="inlineStr">
        <is>
          <t>1 (Strongly disagree)</t>
        </is>
      </c>
      <c r="B57" s="5">
        <f>COUNTIF('Problem 3 Data'!K:K, 1)</f>
        <v/>
      </c>
    </row>
    <row r="58">
      <c r="A58" s="3" t="inlineStr">
        <is>
          <t>2 (Disagree)</t>
        </is>
      </c>
      <c r="B58" s="3">
        <f>COUNTIF('Problem 3 Data'!K:K, 2)</f>
        <v/>
      </c>
    </row>
    <row r="59">
      <c r="A59" s="5" t="inlineStr">
        <is>
          <t>3 (Neutral)</t>
        </is>
      </c>
      <c r="B59" s="5">
        <f>COUNTIF('Problem 3 Data'!K:K, 3)</f>
        <v/>
      </c>
    </row>
    <row r="60">
      <c r="A60" s="3" t="inlineStr">
        <is>
          <t>4 (Agree)</t>
        </is>
      </c>
      <c r="B60" s="3">
        <f>COUNTIF('Problem 3 Data'!K:K, 4)</f>
        <v/>
      </c>
    </row>
    <row r="61">
      <c r="A61" s="5" t="inlineStr">
        <is>
          <t>5 (Strongly agree)</t>
        </is>
      </c>
      <c r="B61" s="5">
        <f>COUNTIF('Problem 3 Data'!K:K, 5)</f>
        <v/>
      </c>
    </row>
    <row r="64">
      <c r="A64" s="1" t="inlineStr">
        <is>
          <t>Salary Category Distribution</t>
        </is>
      </c>
      <c r="B64" s="5" t="inlineStr">
        <is>
          <t>The following chart displays the distribution of individuals across the newly defined salary categories.</t>
        </is>
      </c>
    </row>
  </sheetData>
  <mergeCells count="2">
    <mergeCell ref="A1:I1"/>
    <mergeCell ref="A18:C2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Metropolitan_Area</t>
        </is>
      </c>
      <c r="B1" s="6" t="inlineStr">
        <is>
          <t>Commute Time</t>
        </is>
      </c>
    </row>
    <row r="2">
      <c r="A2" t="inlineStr">
        <is>
          <t>Abilene, TX</t>
        </is>
      </c>
      <c r="B2" t="n">
        <v>37.57</v>
      </c>
    </row>
    <row r="3">
      <c r="A3" t="inlineStr">
        <is>
          <t>Akron, OH</t>
        </is>
      </c>
      <c r="B3" t="n">
        <v>49.38</v>
      </c>
    </row>
    <row r="4">
      <c r="A4" t="inlineStr">
        <is>
          <t>Albany, GA</t>
        </is>
      </c>
      <c r="B4" t="n">
        <v>44.52</v>
      </c>
    </row>
    <row r="5">
      <c r="A5" t="inlineStr">
        <is>
          <t>Albany-Schenectady-Troy, NY</t>
        </is>
      </c>
      <c r="B5" t="n">
        <v>48.37</v>
      </c>
    </row>
    <row r="6">
      <c r="A6" t="inlineStr">
        <is>
          <t>Albuquerque, NM</t>
        </is>
      </c>
      <c r="B6" t="n">
        <v>48.85</v>
      </c>
    </row>
    <row r="7">
      <c r="A7" t="inlineStr">
        <is>
          <t>Alexandria, LA</t>
        </is>
      </c>
      <c r="B7" t="n">
        <v>54.63</v>
      </c>
    </row>
    <row r="8">
      <c r="A8" t="inlineStr">
        <is>
          <t>Allentown-Bethlehem-Easton, PA</t>
        </is>
      </c>
      <c r="B8" t="n">
        <v>53.55</v>
      </c>
    </row>
    <row r="9">
      <c r="A9" t="inlineStr">
        <is>
          <t>Altoona, PA</t>
        </is>
      </c>
      <c r="B9" t="n">
        <v>43.37</v>
      </c>
    </row>
    <row r="10">
      <c r="A10" t="inlineStr">
        <is>
          <t>Amarillo, TX</t>
        </is>
      </c>
      <c r="B10" t="n">
        <v>39.68</v>
      </c>
    </row>
    <row r="11">
      <c r="A11" t="inlineStr">
        <is>
          <t>Ames, IA</t>
        </is>
      </c>
      <c r="B11" t="n">
        <v>35.96666666666667</v>
      </c>
    </row>
    <row r="12">
      <c r="A12" t="inlineStr">
        <is>
          <t>Anchorage, AK</t>
        </is>
      </c>
      <c r="B12" t="n">
        <v>47.98</v>
      </c>
    </row>
    <row r="13">
      <c r="A13" t="inlineStr">
        <is>
          <t>Anderson, IN</t>
        </is>
      </c>
      <c r="B13" t="n">
        <v>49.91666666666666</v>
      </c>
    </row>
    <row r="14">
      <c r="A14" t="inlineStr">
        <is>
          <t>Anderson, SC</t>
        </is>
      </c>
      <c r="B14" t="n">
        <v>51.21666666666667</v>
      </c>
    </row>
    <row r="15">
      <c r="A15" t="inlineStr">
        <is>
          <t>Ann Arbor, MI</t>
        </is>
      </c>
      <c r="B15" t="n">
        <v>47</v>
      </c>
    </row>
    <row r="16">
      <c r="A16" t="inlineStr">
        <is>
          <t>Anniston-Oxford, AL</t>
        </is>
      </c>
      <c r="B16" t="n">
        <v>50.72</v>
      </c>
    </row>
    <row r="17">
      <c r="A17" t="inlineStr">
        <is>
          <t>Appleton, WI</t>
        </is>
      </c>
      <c r="B17" t="n">
        <v>38.93</v>
      </c>
    </row>
    <row r="18">
      <c r="A18" t="inlineStr">
        <is>
          <t>Asheville, NC</t>
        </is>
      </c>
      <c r="B18" t="n">
        <v>46.83</v>
      </c>
    </row>
    <row r="19">
      <c r="A19" t="inlineStr">
        <is>
          <t>Athens-Clarke County, GA</t>
        </is>
      </c>
      <c r="B19" t="n">
        <v>46.91666666666666</v>
      </c>
    </row>
    <row r="20">
      <c r="A20" t="inlineStr">
        <is>
          <t>Atlanta-Sandy Springs-Marietta, GA</t>
        </is>
      </c>
      <c r="B20" t="n">
        <v>66.33333333333333</v>
      </c>
    </row>
    <row r="21">
      <c r="A21" t="inlineStr">
        <is>
          <t>Atlantic City, NJ</t>
        </is>
      </c>
      <c r="B21" t="n">
        <v>51.06666666666667</v>
      </c>
    </row>
    <row r="22">
      <c r="A22" t="inlineStr">
        <is>
          <t>Auburn-Opelika, AL</t>
        </is>
      </c>
      <c r="B22" t="n">
        <v>44.45</v>
      </c>
    </row>
    <row r="23">
      <c r="A23" t="inlineStr">
        <is>
          <t>Augusta-Richmond County, GA-SC</t>
        </is>
      </c>
      <c r="B23" t="n">
        <v>52.13333333333333</v>
      </c>
    </row>
    <row r="24">
      <c r="A24" t="inlineStr">
        <is>
          <t>Austin-Round Rock, TX</t>
        </is>
      </c>
      <c r="B24" t="n">
        <v>54.13333333333333</v>
      </c>
    </row>
    <row r="25">
      <c r="A25" t="inlineStr">
        <is>
          <t>Bakersfield. CA</t>
        </is>
      </c>
      <c r="B25" t="n">
        <v>49.75</v>
      </c>
    </row>
    <row r="26">
      <c r="A26" t="inlineStr">
        <is>
          <t>Baltimore-Towson, MD</t>
        </is>
      </c>
      <c r="B26" t="n">
        <v>63.41666666666666</v>
      </c>
    </row>
    <row r="27">
      <c r="A27" t="inlineStr">
        <is>
          <t>Bangor, ME</t>
        </is>
      </c>
      <c r="B27" t="n">
        <v>45.88333333333333</v>
      </c>
    </row>
    <row r="28">
      <c r="A28" t="inlineStr">
        <is>
          <t>Barnstable Town, MA</t>
        </is>
      </c>
      <c r="B28" t="n">
        <v>50.18333333333333</v>
      </c>
    </row>
    <row r="29">
      <c r="A29" t="inlineStr">
        <is>
          <t>Baton Rouge, LA</t>
        </is>
      </c>
      <c r="B29" t="n">
        <v>55.03333333333333</v>
      </c>
    </row>
    <row r="30">
      <c r="A30" t="inlineStr">
        <is>
          <t>Battle Creek, MI</t>
        </is>
      </c>
      <c r="B30" t="n">
        <v>42.91666666666666</v>
      </c>
    </row>
    <row r="31">
      <c r="A31" t="inlineStr">
        <is>
          <t>Bay City, MI</t>
        </is>
      </c>
      <c r="B31" t="n">
        <v>46.61666666666667</v>
      </c>
    </row>
    <row r="32">
      <c r="A32" t="inlineStr">
        <is>
          <t>Beaumont-Port Arthur, TX</t>
        </is>
      </c>
      <c r="B32" t="n">
        <v>47.5</v>
      </c>
    </row>
    <row r="33">
      <c r="A33" t="inlineStr">
        <is>
          <t>Bellingham, WA</t>
        </is>
      </c>
      <c r="B33" t="n">
        <v>43.4</v>
      </c>
    </row>
    <row r="34">
      <c r="A34" t="inlineStr">
        <is>
          <t>Bend, OR</t>
        </is>
      </c>
      <c r="B34" t="n">
        <v>38.51666666666667</v>
      </c>
    </row>
    <row r="35">
      <c r="A35" t="inlineStr">
        <is>
          <t>Bethesda-Gaithersburg-Frederick, MD</t>
        </is>
      </c>
      <c r="B35" t="n">
        <v>68.46666666666667</v>
      </c>
    </row>
    <row r="36">
      <c r="A36" t="inlineStr">
        <is>
          <t>Billings, MT</t>
        </is>
      </c>
      <c r="B36" t="n">
        <v>38.9</v>
      </c>
    </row>
    <row r="37">
      <c r="A37" t="inlineStr">
        <is>
          <t>Binghamton, NY</t>
        </is>
      </c>
      <c r="B37" t="n">
        <v>43.16666666666666</v>
      </c>
    </row>
    <row r="38">
      <c r="A38" t="inlineStr">
        <is>
          <t>Birmingham-Hoover, AL</t>
        </is>
      </c>
      <c r="B38" t="n">
        <v>57.96666666666667</v>
      </c>
    </row>
    <row r="39">
      <c r="A39" t="inlineStr">
        <is>
          <t>Bismarck, ND</t>
        </is>
      </c>
      <c r="B39" t="n">
        <v>33.85</v>
      </c>
    </row>
    <row r="40">
      <c r="A40" t="inlineStr">
        <is>
          <t>Blacksburg-Christiansburg-Radford, VA</t>
        </is>
      </c>
      <c r="B40" t="n">
        <v>43.65</v>
      </c>
    </row>
    <row r="41">
      <c r="A41" t="inlineStr">
        <is>
          <t>Bloomington, IN</t>
        </is>
      </c>
      <c r="B41" t="n">
        <v>46.75</v>
      </c>
    </row>
    <row r="42">
      <c r="A42" t="inlineStr">
        <is>
          <t>Bloomington-Normal, IL</t>
        </is>
      </c>
      <c r="B42" t="n">
        <v>36.13333333333333</v>
      </c>
    </row>
    <row r="43">
      <c r="A43" t="inlineStr">
        <is>
          <t>Boise City-Nampa, ID</t>
        </is>
      </c>
      <c r="B43" t="n">
        <v>43.53333333333333</v>
      </c>
    </row>
    <row r="44">
      <c r="A44" t="inlineStr">
        <is>
          <t>Boston-Quincy, MA</t>
        </is>
      </c>
      <c r="B44" t="n">
        <v>64.59999999999999</v>
      </c>
    </row>
    <row r="45">
      <c r="A45" t="inlineStr">
        <is>
          <t>Boulder, CO</t>
        </is>
      </c>
      <c r="B45" t="n">
        <v>46.13333333333333</v>
      </c>
    </row>
    <row r="46">
      <c r="A46" t="inlineStr">
        <is>
          <t>Bowling Green, KY</t>
        </is>
      </c>
      <c r="B46" t="n">
        <v>44.68333333333333</v>
      </c>
    </row>
    <row r="47">
      <c r="A47" t="inlineStr">
        <is>
          <t>Bremerton-Silverdale, WA</t>
        </is>
      </c>
      <c r="B47" t="n">
        <v>68.21666666666667</v>
      </c>
    </row>
    <row r="48">
      <c r="A48" t="inlineStr">
        <is>
          <t>Bridgeport-Stamford-Norwalk, CT</t>
        </is>
      </c>
      <c r="B48" t="n">
        <v>58.91666666666666</v>
      </c>
    </row>
    <row r="49">
      <c r="A49" t="inlineStr">
        <is>
          <t>Brownsville-Harlingen, TX</t>
        </is>
      </c>
      <c r="B49" t="n">
        <v>44.3</v>
      </c>
    </row>
    <row r="50">
      <c r="A50" t="inlineStr">
        <is>
          <t>Brunswick, GA</t>
        </is>
      </c>
      <c r="B50" t="n">
        <v>48.66666666666666</v>
      </c>
    </row>
    <row r="51">
      <c r="A51" t="inlineStr">
        <is>
          <t>Buffalo-Niagara Falls, NY</t>
        </is>
      </c>
      <c r="B51" t="n">
        <v>45.46666666666667</v>
      </c>
    </row>
    <row r="52">
      <c r="A52" t="inlineStr">
        <is>
          <t>Burlington, NC</t>
        </is>
      </c>
      <c r="B52" t="n">
        <v>46.66666666666666</v>
      </c>
    </row>
    <row r="53">
      <c r="A53" t="inlineStr">
        <is>
          <t>Burlington-South Burlington, VT</t>
        </is>
      </c>
      <c r="B53" t="n">
        <v>45</v>
      </c>
    </row>
    <row r="54">
      <c r="A54" t="inlineStr">
        <is>
          <t>Cambridge-Newton-Framingham, MA</t>
        </is>
      </c>
      <c r="B54" t="n">
        <v>58.1</v>
      </c>
    </row>
    <row r="55">
      <c r="A55" t="inlineStr">
        <is>
          <t>Camden, NJ</t>
        </is>
      </c>
      <c r="B55" t="n">
        <v>60.11666666666667</v>
      </c>
    </row>
    <row r="56">
      <c r="A56" t="inlineStr">
        <is>
          <t>Canton-Massillon, OH</t>
        </is>
      </c>
      <c r="B56" t="n">
        <v>46.68333333333333</v>
      </c>
    </row>
    <row r="57">
      <c r="A57" t="inlineStr">
        <is>
          <t>Carson City, NV</t>
        </is>
      </c>
      <c r="B57" t="n">
        <v>37.71666666666667</v>
      </c>
    </row>
    <row r="58">
      <c r="A58" t="inlineStr">
        <is>
          <t>Casper, WY</t>
        </is>
      </c>
      <c r="B58" t="n">
        <v>35.48333333333333</v>
      </c>
    </row>
    <row r="59">
      <c r="A59" t="inlineStr">
        <is>
          <t>Cedar Rapids, IA</t>
        </is>
      </c>
      <c r="B59" t="n">
        <v>40.4</v>
      </c>
    </row>
    <row r="60">
      <c r="A60" t="inlineStr">
        <is>
          <t>Champaign-Urbana, IL</t>
        </is>
      </c>
      <c r="B60" t="n">
        <v>37.23333333333333</v>
      </c>
    </row>
    <row r="61">
      <c r="A61" t="inlineStr">
        <is>
          <t>Charleston, WV</t>
        </is>
      </c>
      <c r="B61" t="n">
        <v>54.08333333333334</v>
      </c>
    </row>
    <row r="62">
      <c r="A62" t="inlineStr">
        <is>
          <t>Charleston-North Charleston, SC</t>
        </is>
      </c>
      <c r="B62" t="n">
        <v>52.8</v>
      </c>
    </row>
    <row r="63">
      <c r="A63" t="inlineStr">
        <is>
          <t>Charlotte-Gastonia-Concord, NC-SC</t>
        </is>
      </c>
      <c r="B63" t="n">
        <v>56.28333333333333</v>
      </c>
    </row>
    <row r="64">
      <c r="A64" t="inlineStr">
        <is>
          <t>Charlottesville, VA</t>
        </is>
      </c>
      <c r="B64" t="n">
        <v>49.31666666666667</v>
      </c>
    </row>
    <row r="65">
      <c r="A65" t="inlineStr">
        <is>
          <t>Chattanooga, TN-GA</t>
        </is>
      </c>
      <c r="B65" t="n">
        <v>51.2</v>
      </c>
    </row>
    <row r="66">
      <c r="A66" t="inlineStr">
        <is>
          <t>Cheyenne, WY</t>
        </is>
      </c>
      <c r="B66" t="n">
        <v>34.65</v>
      </c>
    </row>
    <row r="67">
      <c r="A67" t="inlineStr">
        <is>
          <t>Chicago-Naperville-Joliet, IL</t>
        </is>
      </c>
      <c r="B67" t="n">
        <v>67.56666666666666</v>
      </c>
    </row>
    <row r="68">
      <c r="A68" t="inlineStr">
        <is>
          <t>Chico, CA</t>
        </is>
      </c>
      <c r="B68" t="n">
        <v>44.08333333333334</v>
      </c>
    </row>
    <row r="69">
      <c r="A69" t="inlineStr">
        <is>
          <t>Cincinnati-Middletown, OH-KY-IN</t>
        </is>
      </c>
      <c r="B69" t="n">
        <v>52.23333333333333</v>
      </c>
    </row>
    <row r="70">
      <c r="A70" t="inlineStr">
        <is>
          <t>Clarksville, TN-KY</t>
        </is>
      </c>
      <c r="B70" t="n">
        <v>51.26666666666667</v>
      </c>
    </row>
    <row r="71">
      <c r="A71" t="inlineStr">
        <is>
          <t>Cleveland, TN</t>
        </is>
      </c>
      <c r="B71" t="n">
        <v>47.28333333333333</v>
      </c>
    </row>
    <row r="72">
      <c r="A72" t="inlineStr">
        <is>
          <t>Cleveland-Elyria-Mentor, OH</t>
        </is>
      </c>
      <c r="B72" t="n">
        <v>51.98333333333333</v>
      </c>
    </row>
    <row r="73">
      <c r="A73" t="inlineStr">
        <is>
          <t>Coeur d'Alene, ID</t>
        </is>
      </c>
      <c r="B73" t="n">
        <v>45.71666666666667</v>
      </c>
    </row>
    <row r="74">
      <c r="A74" t="inlineStr">
        <is>
          <t>College Station-Bryan, TX</t>
        </is>
      </c>
      <c r="B74" t="n">
        <v>39.8</v>
      </c>
    </row>
    <row r="75">
      <c r="A75" t="inlineStr">
        <is>
          <t>Colorado Springs, CO</t>
        </is>
      </c>
      <c r="B75" t="n">
        <v>47.61666666666667</v>
      </c>
    </row>
    <row r="76">
      <c r="A76" t="inlineStr">
        <is>
          <t>Columbia, MO</t>
        </is>
      </c>
      <c r="B76" t="n">
        <v>38.76666666666667</v>
      </c>
    </row>
    <row r="77">
      <c r="A77" t="inlineStr">
        <is>
          <t>Columbia, SC</t>
        </is>
      </c>
      <c r="B77" t="n">
        <v>52.38333333333333</v>
      </c>
    </row>
    <row r="78">
      <c r="A78" t="inlineStr">
        <is>
          <t>Columbus, GA-AL</t>
        </is>
      </c>
      <c r="B78" t="n">
        <v>46.51666666666667</v>
      </c>
    </row>
    <row r="79">
      <c r="A79" t="inlineStr">
        <is>
          <t>Columbus, IN</t>
        </is>
      </c>
      <c r="B79" t="n">
        <v>40.45</v>
      </c>
    </row>
    <row r="80">
      <c r="A80" t="inlineStr">
        <is>
          <t>Columbus, OH</t>
        </is>
      </c>
      <c r="B80" t="n">
        <v>49.73333333333333</v>
      </c>
    </row>
    <row r="81">
      <c r="A81" t="inlineStr">
        <is>
          <t>Corpus Christi, TX</t>
        </is>
      </c>
      <c r="B81" t="n">
        <v>44.75</v>
      </c>
    </row>
    <row r="82">
      <c r="A82" t="inlineStr">
        <is>
          <t>Corvallis, OR</t>
        </is>
      </c>
      <c r="B82" t="n">
        <v>37.4</v>
      </c>
    </row>
    <row r="83">
      <c r="A83" t="inlineStr">
        <is>
          <t>Cumberland, MD-WV</t>
        </is>
      </c>
      <c r="B83" t="n">
        <v>52.96666666666667</v>
      </c>
    </row>
    <row r="84">
      <c r="A84" t="inlineStr">
        <is>
          <t>Dallas-Plano-Irving, TX</t>
        </is>
      </c>
      <c r="B84" t="n">
        <v>59.13333333333333</v>
      </c>
    </row>
    <row r="85">
      <c r="A85" t="inlineStr">
        <is>
          <t>Dalton, GA</t>
        </is>
      </c>
      <c r="B85" t="n">
        <v>47.51666666666667</v>
      </c>
    </row>
    <row r="86">
      <c r="A86" t="inlineStr">
        <is>
          <t>Danville, IL</t>
        </is>
      </c>
      <c r="B86" t="n">
        <v>43.6</v>
      </c>
    </row>
    <row r="87">
      <c r="A87" t="inlineStr">
        <is>
          <t>Danville, VA</t>
        </is>
      </c>
      <c r="B87" t="n">
        <v>49.35</v>
      </c>
    </row>
    <row r="88">
      <c r="A88" t="inlineStr">
        <is>
          <t>Davenport-Moline-Rock Island, IA-IL</t>
        </is>
      </c>
      <c r="B88" t="n">
        <v>41.35</v>
      </c>
    </row>
    <row r="89">
      <c r="A89" t="inlineStr">
        <is>
          <t>Dayton, OH</t>
        </is>
      </c>
      <c r="B89" t="n">
        <v>45.4</v>
      </c>
    </row>
    <row r="90">
      <c r="A90" t="inlineStr">
        <is>
          <t>Decatur, AL</t>
        </is>
      </c>
      <c r="B90" t="n">
        <v>52.15</v>
      </c>
    </row>
    <row r="91">
      <c r="A91" t="inlineStr">
        <is>
          <t>Decatur, IL</t>
        </is>
      </c>
      <c r="B91" t="n">
        <v>39</v>
      </c>
    </row>
    <row r="92">
      <c r="A92" t="inlineStr">
        <is>
          <t>Deltona-Daytona Beach-Ormond Beach, FL</t>
        </is>
      </c>
      <c r="B92" t="n">
        <v>54.21666666666667</v>
      </c>
    </row>
    <row r="93">
      <c r="A93" t="inlineStr">
        <is>
          <t>Denver-Aurora, CO</t>
        </is>
      </c>
      <c r="B93" t="n">
        <v>56.33333333333334</v>
      </c>
    </row>
    <row r="94">
      <c r="A94" t="inlineStr">
        <is>
          <t>Des Moines-West Des Moines, IA</t>
        </is>
      </c>
      <c r="B94" t="n">
        <v>41.66666666666666</v>
      </c>
    </row>
    <row r="95">
      <c r="A95" t="inlineStr">
        <is>
          <t>Detroit-Livonia-Dearborn, MI</t>
        </is>
      </c>
      <c r="B95" t="n">
        <v>55.65</v>
      </c>
    </row>
    <row r="96">
      <c r="A96" t="inlineStr">
        <is>
          <t>Dothan, AL</t>
        </is>
      </c>
      <c r="B96" t="n">
        <v>47.3</v>
      </c>
    </row>
    <row r="97">
      <c r="A97" t="inlineStr">
        <is>
          <t>Dover, DE</t>
        </is>
      </c>
      <c r="B97" t="n">
        <v>48.4</v>
      </c>
    </row>
    <row r="98">
      <c r="A98" t="inlineStr">
        <is>
          <t>Dubuque, IA</t>
        </is>
      </c>
      <c r="B98" t="n">
        <v>32.73333333333333</v>
      </c>
    </row>
    <row r="99">
      <c r="A99" t="inlineStr">
        <is>
          <t>Duluth, MN-WI</t>
        </is>
      </c>
      <c r="B99" t="n">
        <v>42.25</v>
      </c>
    </row>
    <row r="100">
      <c r="A100" t="inlineStr">
        <is>
          <t>Durham, NC</t>
        </is>
      </c>
      <c r="B100" t="n">
        <v>48.43333333333333</v>
      </c>
    </row>
    <row r="101">
      <c r="A101" t="inlineStr">
        <is>
          <t>Eau Claire, WI</t>
        </is>
      </c>
      <c r="B101" t="n">
        <v>39.45</v>
      </c>
    </row>
    <row r="102">
      <c r="A102" t="inlineStr">
        <is>
          <t>Edison, NJ</t>
        </is>
      </c>
      <c r="B102" t="n">
        <v>69.36666666666666</v>
      </c>
    </row>
    <row r="103">
      <c r="A103" t="inlineStr">
        <is>
          <t>El Centro, CA</t>
        </is>
      </c>
      <c r="B103" t="n">
        <v>43.26666666666667</v>
      </c>
    </row>
    <row r="104">
      <c r="A104" t="inlineStr">
        <is>
          <t>Elizabethtown, KY</t>
        </is>
      </c>
      <c r="B104" t="n">
        <v>49.93333333333333</v>
      </c>
    </row>
    <row r="105">
      <c r="A105" t="inlineStr">
        <is>
          <t>Elkhart-Goshen, IN</t>
        </is>
      </c>
      <c r="B105" t="n">
        <v>39.11666666666667</v>
      </c>
    </row>
    <row r="106">
      <c r="A106" t="inlineStr">
        <is>
          <t>Elmira, NY</t>
        </is>
      </c>
      <c r="B106" t="n">
        <v>41.45</v>
      </c>
    </row>
    <row r="107">
      <c r="A107" t="inlineStr">
        <is>
          <t>El Paso, TX</t>
        </is>
      </c>
      <c r="B107" t="n">
        <v>48.81666666666667</v>
      </c>
    </row>
    <row r="108">
      <c r="A108" t="inlineStr">
        <is>
          <t>Erie, PA</t>
        </is>
      </c>
      <c r="B108" t="n">
        <v>39.78333333333333</v>
      </c>
    </row>
    <row r="109">
      <c r="A109" t="inlineStr">
        <is>
          <t>Essex County, MA</t>
        </is>
      </c>
      <c r="B109" t="n">
        <v>57.56666666666667</v>
      </c>
    </row>
    <row r="110">
      <c r="A110" t="inlineStr">
        <is>
          <t>Eugene-Springfield, OR</t>
        </is>
      </c>
      <c r="B110" t="n">
        <v>41.56666666666667</v>
      </c>
    </row>
    <row r="111">
      <c r="A111" t="inlineStr">
        <is>
          <t>Evansville, IN-KY</t>
        </is>
      </c>
      <c r="B111" t="n">
        <v>44.73333333333333</v>
      </c>
    </row>
    <row r="112">
      <c r="A112" t="inlineStr">
        <is>
          <t>Fairbanks, AK</t>
        </is>
      </c>
      <c r="B112" t="n">
        <v>36.7</v>
      </c>
    </row>
    <row r="113">
      <c r="A113" t="inlineStr">
        <is>
          <t>Fargo, ND-MN</t>
        </is>
      </c>
      <c r="B113" t="n">
        <v>34.35</v>
      </c>
    </row>
    <row r="114">
      <c r="A114" t="inlineStr">
        <is>
          <t>Framington, NM</t>
        </is>
      </c>
      <c r="B114" t="n">
        <v>50.8</v>
      </c>
    </row>
    <row r="115">
      <c r="A115" t="inlineStr">
        <is>
          <t>Fayetteville, NC</t>
        </is>
      </c>
      <c r="B115" t="n">
        <v>48</v>
      </c>
    </row>
    <row r="116">
      <c r="A116" t="inlineStr">
        <is>
          <t>Fayetteville-Springdale-Rogers, AR-MO</t>
        </is>
      </c>
      <c r="B116" t="n">
        <v>43.46666666666667</v>
      </c>
    </row>
    <row r="117">
      <c r="A117" t="inlineStr">
        <is>
          <t>Flagstaff, AZ</t>
        </is>
      </c>
      <c r="B117" t="n">
        <v>40.28333333333333</v>
      </c>
    </row>
    <row r="118">
      <c r="A118" t="inlineStr">
        <is>
          <t>Flint, MI</t>
        </is>
      </c>
      <c r="B118" t="n">
        <v>55.13333333333333</v>
      </c>
    </row>
    <row r="119">
      <c r="A119" t="inlineStr">
        <is>
          <t>Florence, SC</t>
        </is>
      </c>
      <c r="B119" t="n">
        <v>50.98333333333333</v>
      </c>
    </row>
    <row r="120">
      <c r="A120" t="inlineStr">
        <is>
          <t>Florence-Muscle Shoals, AL</t>
        </is>
      </c>
      <c r="B120" t="n">
        <v>51.3</v>
      </c>
    </row>
    <row r="121">
      <c r="A121" t="inlineStr">
        <is>
          <t>Fond du Lac, WI</t>
        </is>
      </c>
      <c r="B121" t="n">
        <v>39.66666666666666</v>
      </c>
    </row>
    <row r="122">
      <c r="A122" t="inlineStr">
        <is>
          <t>Fort Collins-Loveland, CO</t>
        </is>
      </c>
      <c r="B122" t="n">
        <v>44.58333333333334</v>
      </c>
    </row>
    <row r="123">
      <c r="A123" t="inlineStr">
        <is>
          <t>Fort Lauderdale-Pompano Beach-Deerfield Beach, FL</t>
        </is>
      </c>
      <c r="B123" t="n">
        <v>58.46666666666667</v>
      </c>
    </row>
    <row r="124">
      <c r="A124" t="inlineStr">
        <is>
          <t>Fort Smith, AR-OK</t>
        </is>
      </c>
      <c r="B124" t="n">
        <v>48.18333333333333</v>
      </c>
    </row>
    <row r="125">
      <c r="A125" t="inlineStr">
        <is>
          <t>Fort Walton Beach-Crestview-Destin, FL</t>
        </is>
      </c>
      <c r="B125" t="n">
        <v>47.13333333333333</v>
      </c>
    </row>
    <row r="126">
      <c r="A126" t="inlineStr">
        <is>
          <t>Fort Wayne, IN</t>
        </is>
      </c>
      <c r="B126" t="n">
        <v>44.66666666666666</v>
      </c>
    </row>
    <row r="127">
      <c r="A127" t="inlineStr">
        <is>
          <t>Fort Worth-Arlington, TX</t>
        </is>
      </c>
      <c r="B127" t="n">
        <v>57.31666666666667</v>
      </c>
    </row>
    <row r="128">
      <c r="A128" t="inlineStr">
        <is>
          <t>Fresno, CA</t>
        </is>
      </c>
      <c r="B128" t="n">
        <v>47.26666666666667</v>
      </c>
    </row>
    <row r="129">
      <c r="A129" t="inlineStr">
        <is>
          <t>Gadsden, AL</t>
        </is>
      </c>
      <c r="B129" t="n">
        <v>52.88333333333333</v>
      </c>
    </row>
    <row r="130">
      <c r="A130" t="inlineStr">
        <is>
          <t>Gainesville, FL</t>
        </is>
      </c>
      <c r="B130" t="n">
        <v>46.35</v>
      </c>
    </row>
    <row r="131">
      <c r="A131" t="inlineStr">
        <is>
          <t>Gainesville, GA</t>
        </is>
      </c>
      <c r="B131" t="n">
        <v>56.16666666666666</v>
      </c>
    </row>
    <row r="132">
      <c r="A132" t="inlineStr">
        <is>
          <t>Gary, IN</t>
        </is>
      </c>
      <c r="B132" t="n">
        <v>57.83333333333334</v>
      </c>
    </row>
    <row r="133">
      <c r="A133" t="inlineStr">
        <is>
          <t>Glens Falls, NY</t>
        </is>
      </c>
      <c r="B133" t="n">
        <v>48.26666666666667</v>
      </c>
    </row>
    <row r="134">
      <c r="A134" t="inlineStr">
        <is>
          <t>Goldsboro, NC</t>
        </is>
      </c>
      <c r="B134" t="n">
        <v>46.38333333333333</v>
      </c>
    </row>
    <row r="135">
      <c r="A135" t="inlineStr">
        <is>
          <t>Grands Fork, ND-MN</t>
        </is>
      </c>
      <c r="B135" t="n">
        <v>31.85</v>
      </c>
    </row>
    <row r="136">
      <c r="A136" t="inlineStr">
        <is>
          <t>Grand Junction, CO</t>
        </is>
      </c>
      <c r="B136" t="n">
        <v>38.45</v>
      </c>
    </row>
    <row r="137">
      <c r="A137" t="inlineStr">
        <is>
          <t>Grand Rapids-Wyoming, MI</t>
        </is>
      </c>
      <c r="B137" t="n">
        <v>47.43333333333333</v>
      </c>
    </row>
    <row r="138">
      <c r="A138" t="inlineStr">
        <is>
          <t>Great Falls, MT</t>
        </is>
      </c>
      <c r="B138" t="n">
        <v>33.73333333333333</v>
      </c>
    </row>
    <row r="139">
      <c r="A139" t="inlineStr">
        <is>
          <t>Greeley, CO</t>
        </is>
      </c>
      <c r="B139" t="n">
        <v>49.98333333333333</v>
      </c>
    </row>
    <row r="140">
      <c r="A140" t="inlineStr">
        <is>
          <t>Green Bay, WI</t>
        </is>
      </c>
      <c r="B140" t="n">
        <v>39.93333333333333</v>
      </c>
    </row>
    <row r="141">
      <c r="A141" t="inlineStr">
        <is>
          <t>Greensboro-High Point, NC</t>
        </is>
      </c>
      <c r="B141" t="n">
        <v>48.21666666666667</v>
      </c>
    </row>
    <row r="142">
      <c r="A142" t="inlineStr">
        <is>
          <t>Greenville, NC</t>
        </is>
      </c>
      <c r="B142" t="n">
        <v>46.23333333333333</v>
      </c>
    </row>
    <row r="143">
      <c r="A143" t="inlineStr">
        <is>
          <t>Greenville, SC</t>
        </is>
      </c>
      <c r="B143" t="n">
        <v>48.01666666666667</v>
      </c>
    </row>
    <row r="144">
      <c r="A144" t="inlineStr">
        <is>
          <t>Gulfport-Biloxi, MS</t>
        </is>
      </c>
      <c r="B144" t="n">
        <v>51.78333333333333</v>
      </c>
    </row>
    <row r="145">
      <c r="A145" t="inlineStr">
        <is>
          <t>Hagerstown-Martinsburg, MD-WV</t>
        </is>
      </c>
      <c r="B145" t="n">
        <v>58.03333333333333</v>
      </c>
    </row>
    <row r="146">
      <c r="A146" t="inlineStr">
        <is>
          <t>Hanford-Corcoran, CA</t>
        </is>
      </c>
      <c r="B146" t="n">
        <v>44.5</v>
      </c>
    </row>
    <row r="147">
      <c r="A147" t="inlineStr">
        <is>
          <t>Harrisburg-Carlisle, PA</t>
        </is>
      </c>
      <c r="B147" t="n">
        <v>47</v>
      </c>
    </row>
    <row r="148">
      <c r="A148" t="inlineStr">
        <is>
          <t>Harrisonburg, VA</t>
        </is>
      </c>
      <c r="B148" t="n">
        <v>41.85</v>
      </c>
    </row>
    <row r="149">
      <c r="A149" t="inlineStr">
        <is>
          <t>Hartford-West Hartford-East Hartford, CT</t>
        </is>
      </c>
      <c r="B149" t="n">
        <v>48.73333333333333</v>
      </c>
    </row>
    <row r="150">
      <c r="A150" t="inlineStr">
        <is>
          <t>Hattiesburg, MS</t>
        </is>
      </c>
      <c r="B150" t="n">
        <v>51.56666666666667</v>
      </c>
    </row>
    <row r="151">
      <c r="A151" t="inlineStr">
        <is>
          <t>Hickory-Morganton-Lenoir, NC</t>
        </is>
      </c>
      <c r="B151" t="n">
        <v>45.8</v>
      </c>
    </row>
    <row r="152">
      <c r="A152" t="inlineStr">
        <is>
          <t>Hinesville-Fort Stewart, GA</t>
        </is>
      </c>
      <c r="B152" t="n">
        <v>48.68333333333333</v>
      </c>
    </row>
    <row r="153">
      <c r="A153" t="inlineStr">
        <is>
          <t>Holland-Grand Haven, MI</t>
        </is>
      </c>
      <c r="B153" t="n">
        <v>41.33333333333334</v>
      </c>
    </row>
    <row r="154">
      <c r="A154" t="inlineStr">
        <is>
          <t>Honolulu, HI</t>
        </is>
      </c>
      <c r="B154" t="n">
        <v>58.38333333333333</v>
      </c>
    </row>
    <row r="155">
      <c r="A155" t="inlineStr">
        <is>
          <t>Hot Springs, AR</t>
        </is>
      </c>
      <c r="B155" t="n">
        <v>45.06666666666667</v>
      </c>
    </row>
    <row r="156">
      <c r="A156" t="inlineStr">
        <is>
          <t>Houma-Bayou Cane-Thibodaux, LA</t>
        </is>
      </c>
      <c r="B156" t="n">
        <v>55.9</v>
      </c>
    </row>
    <row r="157">
      <c r="A157" t="inlineStr">
        <is>
          <t>Houston-Sugar Land-Baytown, TX</t>
        </is>
      </c>
      <c r="B157" t="n">
        <v>61.8</v>
      </c>
    </row>
    <row r="158">
      <c r="A158" t="inlineStr">
        <is>
          <t>Huntington-Ashland, WV-KY-OH</t>
        </is>
      </c>
      <c r="B158" t="n">
        <v>50.45</v>
      </c>
    </row>
    <row r="159">
      <c r="A159" t="inlineStr">
        <is>
          <t>Huntsville, AL</t>
        </is>
      </c>
      <c r="B159" t="n">
        <v>47.1</v>
      </c>
    </row>
    <row r="160">
      <c r="A160" t="inlineStr">
        <is>
          <t>Idaho Falls, ID</t>
        </is>
      </c>
      <c r="B160" t="n">
        <v>42.98333333333333</v>
      </c>
    </row>
    <row r="161">
      <c r="A161" t="inlineStr">
        <is>
          <t>Indianapolis-Carmel, IN</t>
        </is>
      </c>
      <c r="B161" t="n">
        <v>51.28333333333333</v>
      </c>
    </row>
    <row r="162">
      <c r="A162" t="inlineStr">
        <is>
          <t>Iowa City, IA</t>
        </is>
      </c>
      <c r="B162" t="n">
        <v>38.55</v>
      </c>
    </row>
    <row r="163">
      <c r="A163" t="inlineStr">
        <is>
          <t>Ithaca, NY</t>
        </is>
      </c>
      <c r="B163" t="n">
        <v>37.1</v>
      </c>
    </row>
    <row r="164">
      <c r="A164" t="inlineStr">
        <is>
          <t>Jackson, MI</t>
        </is>
      </c>
      <c r="B164" t="n">
        <v>49.5</v>
      </c>
    </row>
    <row r="165">
      <c r="A165" t="inlineStr">
        <is>
          <t>Jackson, MS</t>
        </is>
      </c>
      <c r="B165" t="n">
        <v>51.55</v>
      </c>
    </row>
    <row r="166">
      <c r="A166" t="inlineStr">
        <is>
          <t>Jackson, TN</t>
        </is>
      </c>
      <c r="B166" t="n">
        <v>43.13333333333333</v>
      </c>
    </row>
    <row r="167">
      <c r="A167" t="inlineStr">
        <is>
          <t>Jacksonville, FL</t>
        </is>
      </c>
      <c r="B167" t="n">
        <v>57.36666666666667</v>
      </c>
    </row>
    <row r="168">
      <c r="A168" t="inlineStr">
        <is>
          <t>Jacksonville, NC</t>
        </is>
      </c>
      <c r="B168" t="n">
        <v>45.43333333333333</v>
      </c>
    </row>
    <row r="169">
      <c r="A169" t="inlineStr">
        <is>
          <t>Janesville, WI</t>
        </is>
      </c>
      <c r="B169" t="n">
        <v>43.4</v>
      </c>
    </row>
    <row r="170">
      <c r="A170" t="inlineStr">
        <is>
          <t>Jefferson City, MO</t>
        </is>
      </c>
      <c r="B170" t="n">
        <v>44.01666666666667</v>
      </c>
    </row>
    <row r="171">
      <c r="A171" t="inlineStr">
        <is>
          <t>Johnson City, TN</t>
        </is>
      </c>
      <c r="B171" t="n">
        <v>46.75</v>
      </c>
    </row>
    <row r="172">
      <c r="A172" t="inlineStr">
        <is>
          <t>Johnstown, PA</t>
        </is>
      </c>
      <c r="B172" t="n">
        <v>47</v>
      </c>
    </row>
    <row r="173">
      <c r="A173" t="inlineStr">
        <is>
          <t>Jonesboro, AK</t>
        </is>
      </c>
      <c r="B173" t="n">
        <v>41.43333333333333</v>
      </c>
    </row>
    <row r="174">
      <c r="A174" t="inlineStr">
        <is>
          <t>Joplin, MO</t>
        </is>
      </c>
      <c r="B174" t="n">
        <v>40.83333333333334</v>
      </c>
    </row>
    <row r="175">
      <c r="A175" t="inlineStr">
        <is>
          <t>Kalamazoo-Portage, MI</t>
        </is>
      </c>
      <c r="B175" t="n">
        <v>44.01666666666667</v>
      </c>
    </row>
    <row r="176">
      <c r="A176" t="inlineStr">
        <is>
          <t>Kankakee-Bradley, IL</t>
        </is>
      </c>
      <c r="B176" t="n">
        <v>50.68333333333333</v>
      </c>
    </row>
    <row r="177">
      <c r="A177" t="inlineStr">
        <is>
          <t>Kansas City, MO-KS</t>
        </is>
      </c>
      <c r="B177" t="n">
        <v>49.08333333333334</v>
      </c>
    </row>
    <row r="178">
      <c r="A178" t="inlineStr">
        <is>
          <t>Kennewick-Richland-Pasco, WA</t>
        </is>
      </c>
      <c r="B178" t="n">
        <v>45.26666666666667</v>
      </c>
    </row>
    <row r="179">
      <c r="A179" t="inlineStr">
        <is>
          <t>Killeen-Temple-Fort Hood, TX</t>
        </is>
      </c>
      <c r="B179" t="n">
        <v>46.06666666666667</v>
      </c>
    </row>
    <row r="180">
      <c r="A180" t="inlineStr">
        <is>
          <t>Kingsport-Bristol-Bristol, TN-VA</t>
        </is>
      </c>
      <c r="B180" t="n">
        <v>49.11666666666667</v>
      </c>
    </row>
    <row r="181">
      <c r="A181" t="inlineStr">
        <is>
          <t>Kingston, NY</t>
        </is>
      </c>
      <c r="B181" t="n">
        <v>56.31666666666667</v>
      </c>
    </row>
    <row r="182">
      <c r="A182" t="inlineStr">
        <is>
          <t>Knoxville, TN</t>
        </is>
      </c>
      <c r="B182" t="n">
        <v>49.21666666666667</v>
      </c>
    </row>
    <row r="183">
      <c r="A183" t="inlineStr">
        <is>
          <t>Kokomo, IN</t>
        </is>
      </c>
      <c r="B183" t="n">
        <v>39.1</v>
      </c>
    </row>
    <row r="184">
      <c r="A184" t="inlineStr">
        <is>
          <t>La Crosse, WI-MN</t>
        </is>
      </c>
      <c r="B184" t="n">
        <v>37.63333333333333</v>
      </c>
    </row>
    <row r="185">
      <c r="A185" t="inlineStr">
        <is>
          <t>Lafayette, IN</t>
        </is>
      </c>
      <c r="B185" t="n">
        <v>39.15</v>
      </c>
    </row>
    <row r="186">
      <c r="A186" t="inlineStr">
        <is>
          <t>Lafayette, LA</t>
        </is>
      </c>
      <c r="B186" t="n">
        <v>53.43333333333333</v>
      </c>
    </row>
    <row r="187">
      <c r="A187" t="inlineStr">
        <is>
          <t>Lake Charles, LA</t>
        </is>
      </c>
      <c r="B187" t="n">
        <v>44.66666666666666</v>
      </c>
    </row>
    <row r="188">
      <c r="A188" t="inlineStr">
        <is>
          <t>Lake County-Kenosha County, IL-WI</t>
        </is>
      </c>
      <c r="B188" t="n">
        <v>61.7</v>
      </c>
    </row>
    <row r="189">
      <c r="A189" t="inlineStr">
        <is>
          <t>Lakeland, FL</t>
        </is>
      </c>
      <c r="B189" t="n">
        <v>54.73333333333333</v>
      </c>
    </row>
    <row r="190">
      <c r="A190" t="inlineStr">
        <is>
          <t>Lancaster, PA</t>
        </is>
      </c>
      <c r="B190" t="n">
        <v>45.5</v>
      </c>
    </row>
    <row r="191">
      <c r="A191" t="inlineStr">
        <is>
          <t>Lansing-East Lansing, MI</t>
        </is>
      </c>
      <c r="B191" t="n">
        <v>45.13333333333333</v>
      </c>
    </row>
    <row r="192">
      <c r="A192" t="inlineStr">
        <is>
          <t>Laredo, TX</t>
        </is>
      </c>
      <c r="B192" t="n">
        <v>46.41666666666666</v>
      </c>
    </row>
    <row r="193">
      <c r="A193" t="inlineStr">
        <is>
          <t>Las Cruces, NM</t>
        </is>
      </c>
      <c r="B193" t="n">
        <v>45.25</v>
      </c>
    </row>
    <row r="194">
      <c r="A194" t="inlineStr">
        <is>
          <t>Las Vegas-Paradise, NV</t>
        </is>
      </c>
      <c r="B194" t="n">
        <v>52.25</v>
      </c>
    </row>
    <row r="195">
      <c r="A195" t="inlineStr">
        <is>
          <t>Lawrence, KS</t>
        </is>
      </c>
      <c r="B195" t="n">
        <v>41.18333333333333</v>
      </c>
    </row>
    <row r="196">
      <c r="A196" t="inlineStr">
        <is>
          <t>Lawton, OK</t>
        </is>
      </c>
      <c r="B196" t="n">
        <v>36.41666666666666</v>
      </c>
    </row>
    <row r="197">
      <c r="A197" t="inlineStr">
        <is>
          <t>Lebanon, PA</t>
        </is>
      </c>
      <c r="B197" t="n">
        <v>45.95</v>
      </c>
    </row>
    <row r="198">
      <c r="A198" t="inlineStr">
        <is>
          <t>Lewiston, ID-WA</t>
        </is>
      </c>
      <c r="B198" t="n">
        <v>34.45</v>
      </c>
    </row>
    <row r="199">
      <c r="A199" t="inlineStr">
        <is>
          <t>Lewiston-Auburn, ME</t>
        </is>
      </c>
      <c r="B199" t="n">
        <v>49.98333333333333</v>
      </c>
    </row>
    <row r="200">
      <c r="A200" t="inlineStr">
        <is>
          <t>Lexington-Fayette, KY</t>
        </is>
      </c>
      <c r="B200" t="n">
        <v>44.53333333333333</v>
      </c>
    </row>
    <row r="201">
      <c r="A201" t="inlineStr">
        <is>
          <t>Lima, OH</t>
        </is>
      </c>
      <c r="B201" t="n">
        <v>39.73333333333333</v>
      </c>
    </row>
    <row r="202">
      <c r="A202" t="inlineStr">
        <is>
          <t>Lincoln, NE</t>
        </is>
      </c>
      <c r="B202" t="n">
        <v>38.05</v>
      </c>
    </row>
    <row r="203">
      <c r="A203" t="inlineStr">
        <is>
          <t>Little Rock-North Little Rock, AR</t>
        </is>
      </c>
      <c r="B203" t="n">
        <v>50.1</v>
      </c>
    </row>
    <row r="204">
      <c r="A204" t="inlineStr">
        <is>
          <t>Logan, UT-ID</t>
        </is>
      </c>
      <c r="B204" t="n">
        <v>36.45</v>
      </c>
    </row>
    <row r="205">
      <c r="A205" t="inlineStr">
        <is>
          <t>Longview, TX</t>
        </is>
      </c>
      <c r="B205" t="n">
        <v>47.03333333333333</v>
      </c>
    </row>
    <row r="206">
      <c r="A206" t="inlineStr">
        <is>
          <t>Longview, WA</t>
        </is>
      </c>
      <c r="B206" t="n">
        <v>45.43333333333333</v>
      </c>
    </row>
    <row r="207">
      <c r="A207" t="inlineStr">
        <is>
          <t>Los Angeles-Long Beach-Glendale, CA</t>
        </is>
      </c>
      <c r="B207" t="n">
        <v>62.36666666666667</v>
      </c>
    </row>
    <row r="208">
      <c r="A208" t="inlineStr">
        <is>
          <t>Louisville-Jefferson County, KY-IN</t>
        </is>
      </c>
      <c r="B208" t="n">
        <v>50.2</v>
      </c>
    </row>
    <row r="209">
      <c r="A209" t="inlineStr">
        <is>
          <t>Lubbock, TX</t>
        </is>
      </c>
      <c r="B209" t="n">
        <v>36.95</v>
      </c>
    </row>
    <row r="210">
      <c r="A210" t="inlineStr">
        <is>
          <t>Lynchburg, VA</t>
        </is>
      </c>
      <c r="B210" t="n">
        <v>49.61666666666667</v>
      </c>
    </row>
    <row r="211">
      <c r="A211" t="inlineStr">
        <is>
          <t>Macon, GA</t>
        </is>
      </c>
      <c r="B211" t="n">
        <v>52.51666666666667</v>
      </c>
    </row>
    <row r="212">
      <c r="A212" t="inlineStr">
        <is>
          <t>Madera, CA</t>
        </is>
      </c>
      <c r="B212" t="n">
        <v>55.45</v>
      </c>
    </row>
    <row r="213">
      <c r="A213" t="inlineStr">
        <is>
          <t>Madison, WI</t>
        </is>
      </c>
      <c r="B213" t="n">
        <v>43.35</v>
      </c>
    </row>
    <row r="214">
      <c r="A214" t="inlineStr">
        <is>
          <t>Manchester-Nashua, NH</t>
        </is>
      </c>
      <c r="B214" t="n">
        <v>54.1</v>
      </c>
    </row>
    <row r="215">
      <c r="A215" t="inlineStr">
        <is>
          <t>Mansfield, OH</t>
        </is>
      </c>
      <c r="B215" t="n">
        <v>43.21666666666667</v>
      </c>
    </row>
    <row r="216">
      <c r="A216" t="inlineStr">
        <is>
          <t>McAllen-Edinburg-Mission, TX</t>
        </is>
      </c>
      <c r="B216" t="n">
        <v>44.91666666666666</v>
      </c>
    </row>
    <row r="217">
      <c r="A217" t="inlineStr">
        <is>
          <t>Medford, OR</t>
        </is>
      </c>
      <c r="B217" t="n">
        <v>39.16666666666666</v>
      </c>
    </row>
    <row r="218">
      <c r="A218" t="inlineStr">
        <is>
          <t>Memphis, TN-AR-MS</t>
        </is>
      </c>
      <c r="B218" t="n">
        <v>53.33333333333334</v>
      </c>
    </row>
    <row r="219">
      <c r="A219" t="inlineStr">
        <is>
          <t>Merced, CA</t>
        </is>
      </c>
      <c r="B219" t="n">
        <v>55.31666666666667</v>
      </c>
    </row>
    <row r="220">
      <c r="A220" t="inlineStr">
        <is>
          <t>Miami-Miami Beach-Kendall, FL</t>
        </is>
      </c>
      <c r="B220" t="n">
        <v>64.5</v>
      </c>
    </row>
    <row r="221">
      <c r="A221" t="inlineStr">
        <is>
          <t>Michigan city-La Porte, IN</t>
        </is>
      </c>
      <c r="B221" t="n">
        <v>47.21666666666667</v>
      </c>
    </row>
    <row r="222">
      <c r="A222" t="inlineStr">
        <is>
          <t>Midland, TX</t>
        </is>
      </c>
      <c r="B222" t="n">
        <v>39.66666666666666</v>
      </c>
    </row>
    <row r="223">
      <c r="A223" t="inlineStr">
        <is>
          <t>Milwaukee-Waukesha-Weat Allis, WI</t>
        </is>
      </c>
      <c r="B223" t="n">
        <v>47.33333333333334</v>
      </c>
    </row>
    <row r="224">
      <c r="A224" t="inlineStr">
        <is>
          <t>Minneapolis-St. Paul-Bloomington, MN-WI</t>
        </is>
      </c>
      <c r="B224" t="n">
        <v>50.06666666666667</v>
      </c>
    </row>
    <row r="225">
      <c r="A225" t="inlineStr">
        <is>
          <t>Missoula, MT</t>
        </is>
      </c>
      <c r="B225" t="n">
        <v>36.81666666666667</v>
      </c>
    </row>
    <row r="226">
      <c r="A226" t="inlineStr">
        <is>
          <t>Mobile, AL</t>
        </is>
      </c>
      <c r="B226" t="n">
        <v>54.38333333333333</v>
      </c>
    </row>
    <row r="227">
      <c r="A227" t="inlineStr">
        <is>
          <t>Modesto, CA</t>
        </is>
      </c>
      <c r="B227" t="n">
        <v>57.15</v>
      </c>
    </row>
    <row r="228">
      <c r="A228" t="inlineStr">
        <is>
          <t>Monroe, LA</t>
        </is>
      </c>
      <c r="B228" t="n">
        <v>46.95</v>
      </c>
    </row>
    <row r="229">
      <c r="A229" t="inlineStr">
        <is>
          <t>Monroe, MI</t>
        </is>
      </c>
      <c r="B229" t="n">
        <v>51.78333333333333</v>
      </c>
    </row>
    <row r="230">
      <c r="A230" t="inlineStr">
        <is>
          <t>Montgomery, AL</t>
        </is>
      </c>
      <c r="B230" t="n">
        <v>49.86666666666667</v>
      </c>
    </row>
    <row r="231">
      <c r="A231" t="inlineStr">
        <is>
          <t>Morgantown, WV</t>
        </is>
      </c>
      <c r="B231" t="n">
        <v>48.81666666666667</v>
      </c>
    </row>
    <row r="232">
      <c r="A232" t="inlineStr">
        <is>
          <t>Morristown, TN</t>
        </is>
      </c>
      <c r="B232" t="n">
        <v>50.58333333333334</v>
      </c>
    </row>
    <row r="233">
      <c r="A233" t="inlineStr">
        <is>
          <t>Mount Vernon-Anacortes, WA</t>
        </is>
      </c>
      <c r="B233" t="n">
        <v>52.7</v>
      </c>
    </row>
    <row r="234">
      <c r="A234" t="inlineStr">
        <is>
          <t>Muncie, IN</t>
        </is>
      </c>
      <c r="B234" t="n">
        <v>42.36666666666667</v>
      </c>
    </row>
    <row r="235">
      <c r="A235" t="inlineStr">
        <is>
          <t>Muskegon-Norton Shores, MI</t>
        </is>
      </c>
      <c r="B235" t="n">
        <v>44.43333333333333</v>
      </c>
    </row>
    <row r="236">
      <c r="A236" t="inlineStr">
        <is>
          <t>Myrtle Beach-Conway-North Myrtle Beach, SC</t>
        </is>
      </c>
      <c r="B236" t="n">
        <v>50.73333333333333</v>
      </c>
    </row>
    <row r="237">
      <c r="A237" t="inlineStr">
        <is>
          <t>Napa, CA</t>
        </is>
      </c>
      <c r="B237" t="n">
        <v>50.68333333333333</v>
      </c>
    </row>
    <row r="238">
      <c r="A238" t="inlineStr">
        <is>
          <t>Naples-Marco Island, FL</t>
        </is>
      </c>
      <c r="B238" t="n">
        <v>50.35</v>
      </c>
    </row>
    <row r="239">
      <c r="A239" t="inlineStr">
        <is>
          <t>Nashville-Davidson-Murfreesboro, TN</t>
        </is>
      </c>
      <c r="B239" t="n">
        <v>55.65</v>
      </c>
    </row>
    <row r="240">
      <c r="A240" t="inlineStr">
        <is>
          <t>Nassau-Suffolk, NY</t>
        </is>
      </c>
      <c r="B240" t="n">
        <v>70.59999999999999</v>
      </c>
    </row>
    <row r="241">
      <c r="A241" t="inlineStr">
        <is>
          <t>Newark-Union, NJ-PA</t>
        </is>
      </c>
      <c r="B241" t="n">
        <v>66.3</v>
      </c>
    </row>
    <row r="242">
      <c r="A242" t="inlineStr">
        <is>
          <t>New Haven-Milford, CT</t>
        </is>
      </c>
      <c r="B242" t="n">
        <v>42.9</v>
      </c>
    </row>
    <row r="243">
      <c r="A243" t="inlineStr">
        <is>
          <t>New London-Norwich, CT-RI</t>
        </is>
      </c>
      <c r="B243" t="n">
        <v>49.78333333333333</v>
      </c>
    </row>
    <row r="244">
      <c r="A244" t="inlineStr">
        <is>
          <t>New Orleans-Metairie-Kenner, LA</t>
        </is>
      </c>
      <c r="B244" t="n">
        <v>57.31666666666667</v>
      </c>
    </row>
    <row r="245">
      <c r="A245" t="inlineStr">
        <is>
          <t>New York-White Plains-Wayne, NY-NJ</t>
        </is>
      </c>
      <c r="B245" t="n">
        <v>79.38333333333334</v>
      </c>
    </row>
    <row r="246">
      <c r="A246" t="inlineStr">
        <is>
          <t>Niles-Benton Harbor, MI</t>
        </is>
      </c>
      <c r="B246" t="n">
        <v>42.63333333333333</v>
      </c>
    </row>
    <row r="247">
      <c r="A247" t="inlineStr">
        <is>
          <t>Norwich-New London, CT</t>
        </is>
      </c>
      <c r="B247" t="n">
        <v>47.6</v>
      </c>
    </row>
    <row r="248">
      <c r="A248" t="inlineStr">
        <is>
          <t>Oakland-Fremont-Hayward, CA</t>
        </is>
      </c>
      <c r="B248" t="n">
        <v>68.13333333333334</v>
      </c>
    </row>
    <row r="249">
      <c r="A249" t="inlineStr">
        <is>
          <t>Ocala, FL</t>
        </is>
      </c>
      <c r="B249" t="n">
        <v>54.9</v>
      </c>
    </row>
    <row r="250">
      <c r="A250" t="inlineStr">
        <is>
          <t>Ocean City, NJ</t>
        </is>
      </c>
      <c r="B250" t="n">
        <v>49.66666666666666</v>
      </c>
    </row>
    <row r="251">
      <c r="A251" t="inlineStr">
        <is>
          <t>Odessa, TX</t>
        </is>
      </c>
      <c r="B251" t="n">
        <v>40</v>
      </c>
    </row>
    <row r="252">
      <c r="A252" t="inlineStr">
        <is>
          <t>Odgen-Clearfield, UT</t>
        </is>
      </c>
      <c r="B252" t="n">
        <v>46.81666666666667</v>
      </c>
    </row>
    <row r="253">
      <c r="A253" t="inlineStr">
        <is>
          <t>Oklahoma City, OK</t>
        </is>
      </c>
      <c r="B253" t="n">
        <v>47.48333333333333</v>
      </c>
    </row>
    <row r="254">
      <c r="A254" t="inlineStr">
        <is>
          <t>Olympia, WA</t>
        </is>
      </c>
      <c r="B254" t="n">
        <v>51.68333333333333</v>
      </c>
    </row>
    <row r="255">
      <c r="A255" t="inlineStr">
        <is>
          <t>Omaha-Council Bluffs, NE-IA</t>
        </is>
      </c>
      <c r="B255" t="n">
        <v>41.98333333333333</v>
      </c>
    </row>
    <row r="256">
      <c r="A256" t="inlineStr">
        <is>
          <t>Orlando-Kissimmee, FL</t>
        </is>
      </c>
      <c r="B256" t="n">
        <v>57.43333333333333</v>
      </c>
    </row>
    <row r="257">
      <c r="A257" t="inlineStr">
        <is>
          <t>Oshkosh-Neenah, WI</t>
        </is>
      </c>
      <c r="B257" t="n">
        <v>38.13333333333333</v>
      </c>
    </row>
    <row r="258">
      <c r="A258" t="inlineStr">
        <is>
          <t>Owensboro, KY</t>
        </is>
      </c>
      <c r="B258" t="n">
        <v>44.43333333333333</v>
      </c>
    </row>
    <row r="259">
      <c r="A259" t="inlineStr">
        <is>
          <t>Oxnard-Thousand Oaks-Ventura, CA</t>
        </is>
      </c>
      <c r="B259" t="n">
        <v>53.46666666666667</v>
      </c>
    </row>
    <row r="260">
      <c r="A260" t="inlineStr">
        <is>
          <t>Palm Bay-Melbourne-Titusville, FL</t>
        </is>
      </c>
      <c r="B260" t="n">
        <v>52.38333333333333</v>
      </c>
    </row>
    <row r="261">
      <c r="A261" t="inlineStr">
        <is>
          <t>Panama City-Lynn Haven, FL</t>
        </is>
      </c>
      <c r="B261" t="n">
        <v>46.41666666666666</v>
      </c>
    </row>
    <row r="262">
      <c r="A262" t="inlineStr">
        <is>
          <t>Parkersburg-Marietta-Vienna, WV-OH</t>
        </is>
      </c>
      <c r="B262" t="n">
        <v>46.13333333333333</v>
      </c>
    </row>
    <row r="263">
      <c r="A263" t="inlineStr">
        <is>
          <t>Pascagoula, MS</t>
        </is>
      </c>
      <c r="B263" t="n">
        <v>54.1</v>
      </c>
    </row>
    <row r="264">
      <c r="A264" t="inlineStr">
        <is>
          <t>Pensacola-Ferry Pass-Brent, FL</t>
        </is>
      </c>
      <c r="B264" t="n">
        <v>53.15</v>
      </c>
    </row>
    <row r="265">
      <c r="A265" t="inlineStr">
        <is>
          <t>Peoria, IL</t>
        </is>
      </c>
      <c r="B265" t="n">
        <v>42.81666666666667</v>
      </c>
    </row>
    <row r="266">
      <c r="A266" t="inlineStr">
        <is>
          <t>Philadelphia, PA</t>
        </is>
      </c>
      <c r="B266" t="n">
        <v>61.71666666666667</v>
      </c>
    </row>
    <row r="267">
      <c r="A267" t="inlineStr">
        <is>
          <t>Phoenix-Mesa-Scottsdale, AZ</t>
        </is>
      </c>
      <c r="B267" t="n">
        <v>55.38333333333333</v>
      </c>
    </row>
    <row r="268">
      <c r="A268" t="inlineStr">
        <is>
          <t>Pine Bluff, AR</t>
        </is>
      </c>
      <c r="B268" t="n">
        <v>49.5</v>
      </c>
    </row>
    <row r="269">
      <c r="A269" t="inlineStr">
        <is>
          <t>Pittsburgh, PA</t>
        </is>
      </c>
      <c r="B269" t="n">
        <v>54.41666666666666</v>
      </c>
    </row>
    <row r="270">
      <c r="A270" t="inlineStr">
        <is>
          <t>Pittsfield, MA</t>
        </is>
      </c>
      <c r="B270" t="n">
        <v>40.76666666666667</v>
      </c>
    </row>
    <row r="271">
      <c r="A271" t="inlineStr">
        <is>
          <t>Pocatello, ID</t>
        </is>
      </c>
      <c r="B271" t="n">
        <v>36.65</v>
      </c>
    </row>
    <row r="272">
      <c r="A272" t="inlineStr">
        <is>
          <t>Portland-South Portland-Biddeford, ME</t>
        </is>
      </c>
      <c r="B272" t="n">
        <v>49.35</v>
      </c>
    </row>
    <row r="273">
      <c r="A273" t="inlineStr">
        <is>
          <t>Portland-Vancouver-Beavertown, OR-WA</t>
        </is>
      </c>
      <c r="B273" t="n">
        <v>51.45</v>
      </c>
    </row>
    <row r="274">
      <c r="A274" t="inlineStr">
        <is>
          <t>Port St. Lucie-Fort Pierce, FL</t>
        </is>
      </c>
      <c r="B274" t="n">
        <v>54.75</v>
      </c>
    </row>
    <row r="275">
      <c r="A275" t="inlineStr">
        <is>
          <t>Poughkeepsie-Newburgh-Middletown, NY</t>
        </is>
      </c>
      <c r="B275" t="n">
        <v>66.78333333333333</v>
      </c>
    </row>
    <row r="276">
      <c r="A276" t="inlineStr">
        <is>
          <t>Prescott, AZ</t>
        </is>
      </c>
      <c r="B276" t="n">
        <v>46.51666666666667</v>
      </c>
    </row>
    <row r="277">
      <c r="A277" t="inlineStr">
        <is>
          <t>Providence-New Bedford-Fall River, RI-MA</t>
        </is>
      </c>
      <c r="B277" t="n">
        <v>50.71666666666667</v>
      </c>
    </row>
    <row r="278">
      <c r="A278" t="inlineStr">
        <is>
          <t>Provo-Orem, UT</t>
        </is>
      </c>
      <c r="B278" t="n">
        <v>39.48333333333333</v>
      </c>
    </row>
    <row r="279">
      <c r="A279" t="inlineStr">
        <is>
          <t>Pueblo, CO</t>
        </is>
      </c>
      <c r="B279" t="n">
        <v>43.93333333333333</v>
      </c>
    </row>
    <row r="280">
      <c r="A280" t="inlineStr">
        <is>
          <t>Punta Gorda, FL</t>
        </is>
      </c>
      <c r="B280" t="n">
        <v>50.31666666666667</v>
      </c>
    </row>
    <row r="281">
      <c r="A281" t="inlineStr">
        <is>
          <t>Racine, WI</t>
        </is>
      </c>
      <c r="B281" t="n">
        <v>47.36666666666667</v>
      </c>
    </row>
    <row r="282">
      <c r="A282" t="inlineStr">
        <is>
          <t>Raleigh-Cary, NC</t>
        </is>
      </c>
      <c r="B282" t="n">
        <v>55.48333333333333</v>
      </c>
    </row>
    <row r="283">
      <c r="A283" t="inlineStr">
        <is>
          <t>Rapid City, SD</t>
        </is>
      </c>
      <c r="B283" t="n">
        <v>36.95</v>
      </c>
    </row>
    <row r="284">
      <c r="A284" t="inlineStr">
        <is>
          <t>Reading, PA</t>
        </is>
      </c>
      <c r="B284" t="n">
        <v>47.75</v>
      </c>
    </row>
    <row r="285">
      <c r="A285" t="inlineStr">
        <is>
          <t>Redding, CA</t>
        </is>
      </c>
      <c r="B285" t="n">
        <v>44.15</v>
      </c>
    </row>
    <row r="286">
      <c r="A286" t="inlineStr">
        <is>
          <t>Reno-Sparks, NV</t>
        </is>
      </c>
      <c r="B286" t="n">
        <v>41.26666666666667</v>
      </c>
    </row>
    <row r="287">
      <c r="A287" t="inlineStr">
        <is>
          <t>Richmond, VA</t>
        </is>
      </c>
      <c r="B287" t="n">
        <v>54.1</v>
      </c>
    </row>
    <row r="288">
      <c r="A288" t="inlineStr">
        <is>
          <t>Riverside-San Bernardino-Ontario, CA</t>
        </is>
      </c>
      <c r="B288" t="n">
        <v>65.98333333333333</v>
      </c>
    </row>
    <row r="289">
      <c r="A289" t="inlineStr">
        <is>
          <t>Roanoke, VA</t>
        </is>
      </c>
      <c r="B289" t="n">
        <v>47.6</v>
      </c>
    </row>
    <row r="290">
      <c r="A290" t="inlineStr">
        <is>
          <t>Rochester, MN</t>
        </is>
      </c>
      <c r="B290" t="n">
        <v>37.55</v>
      </c>
    </row>
    <row r="291">
      <c r="A291" t="inlineStr">
        <is>
          <t>Rochester, NY</t>
        </is>
      </c>
      <c r="B291" t="n">
        <v>44.88333333333333</v>
      </c>
    </row>
    <row r="292">
      <c r="A292" t="inlineStr">
        <is>
          <t>Rockford, IL</t>
        </is>
      </c>
      <c r="B292" t="n">
        <v>46.65</v>
      </c>
    </row>
    <row r="293">
      <c r="A293" t="inlineStr">
        <is>
          <t>Rockingham County-Strafford County, NH</t>
        </is>
      </c>
      <c r="B293" t="n">
        <v>57.83333333333334</v>
      </c>
    </row>
    <row r="294">
      <c r="A294" t="inlineStr">
        <is>
          <t>Rocky Mount, NC</t>
        </is>
      </c>
      <c r="B294" t="n">
        <v>47.65</v>
      </c>
    </row>
    <row r="295">
      <c r="A295" t="inlineStr">
        <is>
          <t>Rome, GA</t>
        </is>
      </c>
      <c r="B295" t="n">
        <v>51</v>
      </c>
    </row>
    <row r="296">
      <c r="A296" t="inlineStr">
        <is>
          <t>Sacramento-Arden-Arcade-Roseville, CA</t>
        </is>
      </c>
      <c r="B296" t="n">
        <v>54.08333333333334</v>
      </c>
    </row>
    <row r="297">
      <c r="A297" t="inlineStr">
        <is>
          <t>Saginaw-Saginaw Township, MI</t>
        </is>
      </c>
      <c r="B297" t="n">
        <v>46.16666666666666</v>
      </c>
    </row>
    <row r="298">
      <c r="A298" t="inlineStr">
        <is>
          <t>St. Cloud, MN</t>
        </is>
      </c>
      <c r="B298" t="n">
        <v>40.95</v>
      </c>
    </row>
    <row r="299">
      <c r="A299" t="inlineStr">
        <is>
          <t>St. George, UT</t>
        </is>
      </c>
      <c r="B299" t="n">
        <v>36.03333333333333</v>
      </c>
    </row>
    <row r="300">
      <c r="A300" t="inlineStr">
        <is>
          <t>St. Joseph, MO-KS</t>
        </is>
      </c>
      <c r="B300" t="n">
        <v>42.8</v>
      </c>
    </row>
    <row r="301">
      <c r="A301" t="inlineStr">
        <is>
          <t>St. Louis, MO-IL</t>
        </is>
      </c>
      <c r="B301" t="n">
        <v>54.8</v>
      </c>
    </row>
    <row r="302">
      <c r="A302" t="inlineStr">
        <is>
          <t>Salem, OR</t>
        </is>
      </c>
      <c r="B302" t="n">
        <v>49.23333333333333</v>
      </c>
    </row>
    <row r="303">
      <c r="A303" t="inlineStr">
        <is>
          <t>Salinas, CA</t>
        </is>
      </c>
      <c r="B303" t="n">
        <v>49.18333333333333</v>
      </c>
    </row>
    <row r="304">
      <c r="A304" t="inlineStr">
        <is>
          <t>Salisbury, MD</t>
        </is>
      </c>
      <c r="B304" t="n">
        <v>45.95</v>
      </c>
    </row>
    <row r="305">
      <c r="A305" t="inlineStr">
        <is>
          <t>Salt Lake City, UT</t>
        </is>
      </c>
      <c r="B305" t="n">
        <v>48.51666666666667</v>
      </c>
    </row>
    <row r="306">
      <c r="A306" t="inlineStr">
        <is>
          <t>San Angelo, TX</t>
        </is>
      </c>
      <c r="B306" t="n">
        <v>38.56666666666667</v>
      </c>
    </row>
    <row r="307">
      <c r="A307" t="inlineStr">
        <is>
          <t>San Antonio, TX</t>
        </is>
      </c>
      <c r="B307" t="n">
        <v>53.45</v>
      </c>
    </row>
    <row r="308">
      <c r="A308" t="inlineStr">
        <is>
          <t>San Diego-Carlsbad-San Marcos, CA</t>
        </is>
      </c>
      <c r="B308" t="n">
        <v>53.25</v>
      </c>
    </row>
    <row r="309">
      <c r="A309" t="inlineStr">
        <is>
          <t>Sandusky, OH</t>
        </is>
      </c>
      <c r="B309" t="n">
        <v>40.4</v>
      </c>
    </row>
    <row r="310">
      <c r="A310" t="inlineStr">
        <is>
          <t>San Francisco-San Mateo-Redwood City, CA</t>
        </is>
      </c>
      <c r="B310" t="n">
        <v>61.61666666666667</v>
      </c>
    </row>
    <row r="311">
      <c r="A311" t="inlineStr">
        <is>
          <t>San Jose-Sunnyvale-Santa Clara, CA</t>
        </is>
      </c>
      <c r="B311" t="n">
        <v>56.1</v>
      </c>
    </row>
    <row r="312">
      <c r="A312" t="inlineStr">
        <is>
          <t>San Luis Obispo-Paso Robles, CA</t>
        </is>
      </c>
      <c r="B312" t="n">
        <v>43.91666666666666</v>
      </c>
    </row>
    <row r="313">
      <c r="A313" t="inlineStr">
        <is>
          <t>Santa Ana-Anaheim-Irvine, CA</t>
        </is>
      </c>
      <c r="B313" t="n">
        <v>57.55</v>
      </c>
    </row>
    <row r="314">
      <c r="A314" t="inlineStr">
        <is>
          <t>Santa Barbara-Santa Maria, CA</t>
        </is>
      </c>
      <c r="B314" t="n">
        <v>40.45</v>
      </c>
    </row>
    <row r="315">
      <c r="A315" t="inlineStr">
        <is>
          <t>Santa Cruz-Watsonville, CA</t>
        </is>
      </c>
      <c r="B315" t="n">
        <v>57.86666666666667</v>
      </c>
    </row>
    <row r="316">
      <c r="A316" t="inlineStr">
        <is>
          <t>Santa Fe, NM</t>
        </is>
      </c>
      <c r="B316" t="n">
        <v>45.05</v>
      </c>
    </row>
    <row r="317">
      <c r="A317" t="inlineStr">
        <is>
          <t>Santa Rosa-Petaluma, CA</t>
        </is>
      </c>
      <c r="B317" t="n">
        <v>55.83333333333334</v>
      </c>
    </row>
    <row r="318">
      <c r="A318" t="inlineStr">
        <is>
          <t>Sarasota-Bradenton-Venice, FL</t>
        </is>
      </c>
      <c r="B318" t="n">
        <v>47.41666666666666</v>
      </c>
    </row>
    <row r="319">
      <c r="A319" t="inlineStr">
        <is>
          <t>Savannah, GA</t>
        </is>
      </c>
      <c r="B319" t="n">
        <v>51.95</v>
      </c>
    </row>
    <row r="320">
      <c r="A320" t="inlineStr">
        <is>
          <t>Scranton-Wilkes Barre, PA</t>
        </is>
      </c>
      <c r="B320" t="n">
        <v>45.06666666666667</v>
      </c>
    </row>
    <row r="321">
      <c r="A321" t="inlineStr">
        <is>
          <t>Seattle-Bellevue-Everett, WA</t>
        </is>
      </c>
      <c r="B321" t="n">
        <v>57.41666666666666</v>
      </c>
    </row>
    <row r="322">
      <c r="A322" t="inlineStr">
        <is>
          <t>Sebastian-Vero Beach, FL</t>
        </is>
      </c>
      <c r="B322" t="n">
        <v>42.93333333333333</v>
      </c>
    </row>
    <row r="323">
      <c r="A323" t="inlineStr">
        <is>
          <t>Sheboygan, WI</t>
        </is>
      </c>
      <c r="B323" t="n">
        <v>36.01666666666667</v>
      </c>
    </row>
    <row r="324">
      <c r="A324" t="inlineStr">
        <is>
          <t>Sherman-Denison, TX</t>
        </is>
      </c>
      <c r="B324" t="n">
        <v>53.15</v>
      </c>
    </row>
    <row r="325">
      <c r="A325" t="inlineStr">
        <is>
          <t>Shreveport-Bossier City, LA</t>
        </is>
      </c>
      <c r="B325" t="n">
        <v>47.38333333333333</v>
      </c>
    </row>
    <row r="326">
      <c r="A326" t="inlineStr">
        <is>
          <t>Sioux City, IA-NE-SD</t>
        </is>
      </c>
      <c r="B326" t="n">
        <v>37.78333333333333</v>
      </c>
    </row>
    <row r="327">
      <c r="A327" t="inlineStr">
        <is>
          <t>Sioux Falls, SD</t>
        </is>
      </c>
      <c r="B327" t="n">
        <v>37.55</v>
      </c>
    </row>
    <row r="328">
      <c r="A328" t="inlineStr">
        <is>
          <t>South Bend-Mishawaka, IN-MI</t>
        </is>
      </c>
      <c r="B328" t="n">
        <v>44.6</v>
      </c>
    </row>
    <row r="329">
      <c r="A329" t="inlineStr">
        <is>
          <t>Spartanburg, SC</t>
        </is>
      </c>
      <c r="B329" t="n">
        <v>48.5</v>
      </c>
    </row>
    <row r="330">
      <c r="A330" t="inlineStr">
        <is>
          <t>Spokane, WA</t>
        </is>
      </c>
      <c r="B330" t="n">
        <v>44.71666666666667</v>
      </c>
    </row>
    <row r="331">
      <c r="A331" t="inlineStr">
        <is>
          <t>Springfield, IL</t>
        </is>
      </c>
      <c r="B331" t="n">
        <v>41.78333333333333</v>
      </c>
    </row>
    <row r="332">
      <c r="A332" t="inlineStr">
        <is>
          <t>Springfield, MA</t>
        </is>
      </c>
      <c r="B332" t="n">
        <v>47.06666666666667</v>
      </c>
    </row>
    <row r="333">
      <c r="A333" t="inlineStr">
        <is>
          <t>Springfield, MO</t>
        </is>
      </c>
      <c r="B333" t="n">
        <v>45.85</v>
      </c>
    </row>
    <row r="334">
      <c r="A334" t="inlineStr">
        <is>
          <t>Springfield, OH</t>
        </is>
      </c>
      <c r="B334" t="n">
        <v>46.5</v>
      </c>
    </row>
    <row r="335">
      <c r="A335" t="inlineStr">
        <is>
          <t>State College, PA</t>
        </is>
      </c>
      <c r="B335" t="n">
        <v>41.36666666666667</v>
      </c>
    </row>
    <row r="336">
      <c r="A336" t="inlineStr">
        <is>
          <t>Stockton, CA</t>
        </is>
      </c>
      <c r="B336" t="n">
        <v>62.31666666666667</v>
      </c>
    </row>
    <row r="337">
      <c r="A337" t="inlineStr">
        <is>
          <t>Sumter, SC</t>
        </is>
      </c>
      <c r="B337" t="n">
        <v>46.43333333333333</v>
      </c>
    </row>
    <row r="338">
      <c r="A338" t="inlineStr">
        <is>
          <t>Syracuse, NY</t>
        </is>
      </c>
      <c r="B338" t="n">
        <v>43.98333333333333</v>
      </c>
    </row>
    <row r="339">
      <c r="A339" t="inlineStr">
        <is>
          <t>Tacoma, WA</t>
        </is>
      </c>
      <c r="B339" t="n">
        <v>60.35</v>
      </c>
    </row>
    <row r="340">
      <c r="A340" t="inlineStr">
        <is>
          <t>Tallahassee, FL</t>
        </is>
      </c>
      <c r="B340" t="n">
        <v>50.93333333333333</v>
      </c>
    </row>
    <row r="341">
      <c r="A341" t="inlineStr">
        <is>
          <t>Tampa-St. Petersburg-Clearwater, FL</t>
        </is>
      </c>
      <c r="B341" t="n">
        <v>54.51666666666667</v>
      </c>
    </row>
    <row r="342">
      <c r="A342" t="inlineStr">
        <is>
          <t>Terre Haute, IN</t>
        </is>
      </c>
      <c r="B342" t="n">
        <v>45.46666666666667</v>
      </c>
    </row>
    <row r="343">
      <c r="A343" t="inlineStr">
        <is>
          <t>Texarkana, TX-Texarkana, AR</t>
        </is>
      </c>
      <c r="B343" t="n">
        <v>43.71666666666667</v>
      </c>
    </row>
    <row r="344">
      <c r="A344" t="inlineStr">
        <is>
          <t>Toledo, OH</t>
        </is>
      </c>
      <c r="B344" t="n">
        <v>44.3</v>
      </c>
    </row>
    <row r="345">
      <c r="A345" t="inlineStr">
        <is>
          <t>Topeka, KS</t>
        </is>
      </c>
      <c r="B345" t="n">
        <v>44.01666666666667</v>
      </c>
    </row>
    <row r="346">
      <c r="A346" t="inlineStr">
        <is>
          <t>Trenton-Ewing, NJ</t>
        </is>
      </c>
      <c r="B346" t="n">
        <v>57.7</v>
      </c>
    </row>
    <row r="347">
      <c r="A347" t="inlineStr">
        <is>
          <t>Tucson, AZ</t>
        </is>
      </c>
      <c r="B347" t="n">
        <v>50.68333333333333</v>
      </c>
    </row>
    <row r="348">
      <c r="A348" t="inlineStr">
        <is>
          <t>Tulsa, OK</t>
        </is>
      </c>
      <c r="B348" t="n">
        <v>46.55</v>
      </c>
    </row>
    <row r="349">
      <c r="A349" t="inlineStr">
        <is>
          <t>Tuscaloosa, AL</t>
        </is>
      </c>
      <c r="B349" t="n">
        <v>47.43333333333333</v>
      </c>
    </row>
    <row r="350">
      <c r="A350" t="inlineStr">
        <is>
          <t>Tyler, TX</t>
        </is>
      </c>
      <c r="B350" t="n">
        <v>47.65</v>
      </c>
    </row>
    <row r="351">
      <c r="A351" t="inlineStr">
        <is>
          <t>Utica-Rome, NY</t>
        </is>
      </c>
      <c r="B351" t="n">
        <v>43.98333333333333</v>
      </c>
    </row>
    <row r="352">
      <c r="A352" t="inlineStr">
        <is>
          <t>Valdosta, GA</t>
        </is>
      </c>
      <c r="B352" t="n">
        <v>43.5</v>
      </c>
    </row>
    <row r="353">
      <c r="A353" t="inlineStr">
        <is>
          <t>Vallejo-Fairfield, CA</t>
        </is>
      </c>
      <c r="B353" t="n">
        <v>67.66666666666667</v>
      </c>
    </row>
    <row r="354">
      <c r="A354" t="inlineStr">
        <is>
          <t>Victoria, TX</t>
        </is>
      </c>
      <c r="B354" t="n">
        <v>46.58333333333334</v>
      </c>
    </row>
    <row r="355">
      <c r="A355" t="inlineStr">
        <is>
          <t>Vineland-Millville-Bridgeton, NJ</t>
        </is>
      </c>
      <c r="B355" t="n">
        <v>49.68333333333333</v>
      </c>
    </row>
    <row r="356">
      <c r="A356" t="inlineStr">
        <is>
          <t>Virginia Beach-Norfolk-Newport News, VA-NC</t>
        </is>
      </c>
      <c r="B356" t="n">
        <v>51.81666666666667</v>
      </c>
    </row>
    <row r="357">
      <c r="A357" t="inlineStr">
        <is>
          <t>Visalia-Porterville, CA</t>
        </is>
      </c>
      <c r="B357" t="n">
        <v>46.41666666666666</v>
      </c>
    </row>
    <row r="358">
      <c r="A358" t="inlineStr">
        <is>
          <t xml:space="preserve">Waco, TX </t>
        </is>
      </c>
      <c r="B358" t="n">
        <v>42.86666666666667</v>
      </c>
    </row>
    <row r="359">
      <c r="A359" t="inlineStr">
        <is>
          <t>Warner Robins, GA</t>
        </is>
      </c>
      <c r="B359" t="n">
        <v>43.75</v>
      </c>
    </row>
    <row r="360">
      <c r="A360" t="inlineStr">
        <is>
          <t>Warren-Troy-Farmington Hills, MI</t>
        </is>
      </c>
      <c r="B360" t="n">
        <v>58.21666666666667</v>
      </c>
    </row>
    <row r="361">
      <c r="A361" t="inlineStr">
        <is>
          <t>Washington-Arlington-Alexandria, DC-MD-VA-WV</t>
        </is>
      </c>
      <c r="B361" t="n">
        <v>69.88333333333334</v>
      </c>
    </row>
    <row r="362">
      <c r="A362" t="inlineStr">
        <is>
          <t>Waterloo-Cedar Falls, IA</t>
        </is>
      </c>
      <c r="B362" t="n">
        <v>34.91666666666666</v>
      </c>
    </row>
    <row r="363">
      <c r="A363" t="inlineStr">
        <is>
          <t>Wausau, WI</t>
        </is>
      </c>
      <c r="B363" t="n">
        <v>38.41666666666666</v>
      </c>
    </row>
    <row r="364">
      <c r="A364" t="inlineStr">
        <is>
          <t>Weirton-Steubenville, WV-OH</t>
        </is>
      </c>
      <c r="B364" t="n">
        <v>48.3</v>
      </c>
    </row>
    <row r="365">
      <c r="A365" t="inlineStr">
        <is>
          <t>Wenatchee, WA</t>
        </is>
      </c>
      <c r="B365" t="n">
        <v>37.98333333333333</v>
      </c>
    </row>
    <row r="366">
      <c r="A366" t="inlineStr">
        <is>
          <t>West Palm Beach-Boca Raton-Boynton Beach, FL</t>
        </is>
      </c>
      <c r="B366" t="n">
        <v>54.25</v>
      </c>
    </row>
    <row r="367">
      <c r="A367" t="inlineStr">
        <is>
          <t>Wheeling, WV-OH</t>
        </is>
      </c>
      <c r="B367" t="n">
        <v>48.93333333333333</v>
      </c>
    </row>
    <row r="368">
      <c r="A368" t="inlineStr">
        <is>
          <t>Wichita, KS</t>
        </is>
      </c>
      <c r="B368" t="n">
        <v>41.16666666666666</v>
      </c>
    </row>
    <row r="369">
      <c r="A369" t="inlineStr">
        <is>
          <t>Wichita Falls, TX</t>
        </is>
      </c>
      <c r="B369" t="n">
        <v>38.95</v>
      </c>
    </row>
    <row r="370">
      <c r="A370" t="inlineStr">
        <is>
          <t>Williamsport, PA</t>
        </is>
      </c>
      <c r="B370" t="n">
        <v>42.11666666666667</v>
      </c>
    </row>
    <row r="371">
      <c r="A371" t="inlineStr">
        <is>
          <t>Wilmington, DE-MD-NJ</t>
        </is>
      </c>
      <c r="B371" t="n">
        <v>53.2</v>
      </c>
    </row>
    <row r="372">
      <c r="A372" t="inlineStr">
        <is>
          <t>Wilmington, NC</t>
        </is>
      </c>
      <c r="B372" t="n">
        <v>48.66666666666666</v>
      </c>
    </row>
    <row r="373">
      <c r="A373" t="inlineStr">
        <is>
          <t>Winchester, VA-WV</t>
        </is>
      </c>
      <c r="B373" t="n">
        <v>59.1</v>
      </c>
    </row>
    <row r="374">
      <c r="A374" t="inlineStr">
        <is>
          <t>Winston-Salem, NC</t>
        </is>
      </c>
      <c r="B374" t="n">
        <v>49.26666666666667</v>
      </c>
    </row>
    <row r="375">
      <c r="A375" t="inlineStr">
        <is>
          <t>Worcester, MA</t>
        </is>
      </c>
      <c r="B375" t="n">
        <v>55.31666666666667</v>
      </c>
    </row>
    <row r="376">
      <c r="A376" t="inlineStr">
        <is>
          <t>Yakima, WA</t>
        </is>
      </c>
      <c r="B376" t="n">
        <v>41.26666666666667</v>
      </c>
    </row>
    <row r="377">
      <c r="A377" t="inlineStr">
        <is>
          <t>York-Hanover, PA</t>
        </is>
      </c>
      <c r="B377" t="n">
        <v>51.93333333333333</v>
      </c>
    </row>
    <row r="378">
      <c r="A378" t="inlineStr">
        <is>
          <t>Youngstown-Warren-Boardman, OH-PA</t>
        </is>
      </c>
      <c r="B378" t="n">
        <v>44.98333333333333</v>
      </c>
    </row>
    <row r="379">
      <c r="A379" t="inlineStr">
        <is>
          <t>Yuba City, CA</t>
        </is>
      </c>
      <c r="B379" t="n">
        <v>54.61666666666667</v>
      </c>
    </row>
    <row r="380">
      <c r="A380" t="inlineStr">
        <is>
          <t>Yuma, AZ</t>
        </is>
      </c>
      <c r="B380" t="n">
        <v>40.23333333333333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2026-04-11T22:21:04Z</dcterms:created>
  <dcterms:modified xmlns:dcterms="http://purl.org/dc/terms/" xmlns:xsi="http://www.w3.org/2001/XMLSchema-instance" xsi:type="dcterms:W3CDTF">2026-04-11T22:34:35Z</dcterms:modified>
  <cp:lastModifiedBy>Shakila Azad</cp:lastModifiedBy>
</cp:coreProperties>
</file>