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tovarsil\Desktop\"/>
    </mc:Choice>
  </mc:AlternateContent>
  <bookViews>
    <workbookView xWindow="0" yWindow="0" windowWidth="28800" windowHeight="12300" activeTab="4"/>
  </bookViews>
  <sheets>
    <sheet name="Source" sheetId="3" r:id="rId1"/>
    <sheet name="Sheet1" sheetId="4" r:id="rId2"/>
    <sheet name="Sheet2" sheetId="5" r:id="rId3"/>
    <sheet name="Sheet3" sheetId="6" r:id="rId4"/>
    <sheet name="Data" sheetId="2" r:id="rId5"/>
  </sheets>
  <calcPr calcId="162913"/>
</workbook>
</file>

<file path=xl/calcChain.xml><?xml version="1.0" encoding="utf-8"?>
<calcChain xmlns="http://schemas.openxmlformats.org/spreadsheetml/2006/main">
  <c r="J28" i="2" l="1"/>
  <c r="J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2" i="2"/>
</calcChain>
</file>

<file path=xl/sharedStrings.xml><?xml version="1.0" encoding="utf-8"?>
<sst xmlns="http://schemas.openxmlformats.org/spreadsheetml/2006/main" count="92" uniqueCount="33">
  <si>
    <t>Month</t>
  </si>
  <si>
    <t>Cost</t>
  </si>
  <si>
    <t>Units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</si>
  <si>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</si>
  <si>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</si>
  <si>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</si>
  <si>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</si>
  <si>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</si>
  <si>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</si>
  <si>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</si>
  <si>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</si>
  <si>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</si>
  <si>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</si>
  <si>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</si>
  <si>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</si>
  <si>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</si>
  <si>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</si>
  <si>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</si>
  <si>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</si>
  <si>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</si>
  <si>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</si>
  <si>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</si>
  <si>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</si>
  <si>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</si>
  <si>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</si>
  <si>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</si>
  <si>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</si>
  <si>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</si>
  <si>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</si>
  <si>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Cost</t>
  </si>
  <si>
    <t>Residuals</t>
  </si>
  <si>
    <t>Units ^2</t>
  </si>
  <si>
    <t>log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</si>
</sst>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0" xfId="1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2">
    <cellStyle name="Normal" xfId="0" builtinId="0" customBuiltin="1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Units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Data!$B$2:$B$37</c:f>
              <c:numCache>
                <c:formatCode>General</c:formatCode>
                <c:ptCount val="36"/>
                <c:pt idx="0">
                  <c:v>601</c:v>
                </c:pt>
                <c:pt idx="1">
                  <c:v>738</c:v>
                </c:pt>
                <c:pt idx="2">
                  <c:v>686</c:v>
                </c:pt>
                <c:pt idx="3">
                  <c:v>736</c:v>
                </c:pt>
                <c:pt idx="4">
                  <c:v>756</c:v>
                </c:pt>
                <c:pt idx="5">
                  <c:v>498</c:v>
                </c:pt>
                <c:pt idx="6">
                  <c:v>828</c:v>
                </c:pt>
                <c:pt idx="7">
                  <c:v>671</c:v>
                </c:pt>
                <c:pt idx="8">
                  <c:v>305</c:v>
                </c:pt>
                <c:pt idx="9">
                  <c:v>637</c:v>
                </c:pt>
                <c:pt idx="10">
                  <c:v>499</c:v>
                </c:pt>
                <c:pt idx="11">
                  <c:v>578</c:v>
                </c:pt>
                <c:pt idx="12">
                  <c:v>641</c:v>
                </c:pt>
                <c:pt idx="13">
                  <c:v>452</c:v>
                </c:pt>
                <c:pt idx="14">
                  <c:v>674</c:v>
                </c:pt>
                <c:pt idx="15">
                  <c:v>475</c:v>
                </c:pt>
                <c:pt idx="16">
                  <c:v>536</c:v>
                </c:pt>
                <c:pt idx="17">
                  <c:v>527</c:v>
                </c:pt>
                <c:pt idx="18">
                  <c:v>275</c:v>
                </c:pt>
                <c:pt idx="19">
                  <c:v>495</c:v>
                </c:pt>
                <c:pt idx="20">
                  <c:v>568</c:v>
                </c:pt>
                <c:pt idx="21">
                  <c:v>418</c:v>
                </c:pt>
                <c:pt idx="22">
                  <c:v>694</c:v>
                </c:pt>
                <c:pt idx="23">
                  <c:v>653</c:v>
                </c:pt>
                <c:pt idx="24">
                  <c:v>471</c:v>
                </c:pt>
                <c:pt idx="25">
                  <c:v>669</c:v>
                </c:pt>
                <c:pt idx="26">
                  <c:v>298</c:v>
                </c:pt>
                <c:pt idx="27">
                  <c:v>399</c:v>
                </c:pt>
                <c:pt idx="28">
                  <c:v>549</c:v>
                </c:pt>
                <c:pt idx="29">
                  <c:v>863</c:v>
                </c:pt>
                <c:pt idx="30">
                  <c:v>764</c:v>
                </c:pt>
                <c:pt idx="31">
                  <c:v>800</c:v>
                </c:pt>
                <c:pt idx="32">
                  <c:v>609</c:v>
                </c:pt>
                <c:pt idx="33">
                  <c:v>667</c:v>
                </c:pt>
                <c:pt idx="34">
                  <c:v>705</c:v>
                </c:pt>
                <c:pt idx="35">
                  <c:v>637</c:v>
                </c:pt>
              </c:numCache>
            </c:numRef>
          </c:xVal>
          <c:yVal>
            <c:numRef>
              <c:f>Sheet1!$C$25:$C$60</c:f>
              <c:numCache>
                <c:formatCode>General</c:formatCode>
                <c:ptCount val="36"/>
                <c:pt idx="0">
                  <c:v>3621.1183846342028</c:v>
                </c:pt>
                <c:pt idx="1">
                  <c:v>322.08381272463157</c:v>
                </c:pt>
                <c:pt idx="2">
                  <c:v>-1254.1950358936301</c:v>
                </c:pt>
                <c:pt idx="3">
                  <c:v>371.15001085469703</c:v>
                </c:pt>
                <c:pt idx="4">
                  <c:v>582.48802955403517</c:v>
                </c:pt>
                <c:pt idx="5">
                  <c:v>2315.0275883326394</c:v>
                </c:pt>
                <c:pt idx="6">
                  <c:v>-4958.8951031283723</c:v>
                </c:pt>
                <c:pt idx="7">
                  <c:v>150.8014500818681</c:v>
                </c:pt>
                <c:pt idx="8">
                  <c:v>-3667.0842921159201</c:v>
                </c:pt>
                <c:pt idx="9">
                  <c:v>4142.9268182930027</c:v>
                </c:pt>
                <c:pt idx="10">
                  <c:v>4297.4944892676067</c:v>
                </c:pt>
                <c:pt idx="11">
                  <c:v>1358.3796631299701</c:v>
                </c:pt>
                <c:pt idx="12">
                  <c:v>-4045.2055779671355</c:v>
                </c:pt>
                <c:pt idx="13">
                  <c:v>3745.5501453241741</c:v>
                </c:pt>
                <c:pt idx="14">
                  <c:v>-725.79784711323737</c:v>
                </c:pt>
                <c:pt idx="15">
                  <c:v>-2349.7111331715932</c:v>
                </c:pt>
                <c:pt idx="16">
                  <c:v>-836.23017613862612</c:v>
                </c:pt>
                <c:pt idx="17">
                  <c:v>505.56771544667572</c:v>
                </c:pt>
                <c:pt idx="18">
                  <c:v>-3891.0913201649164</c:v>
                </c:pt>
                <c:pt idx="19">
                  <c:v>-4004.3731144722551</c:v>
                </c:pt>
                <c:pt idx="20">
                  <c:v>4153.7106537803047</c:v>
                </c:pt>
                <c:pt idx="21">
                  <c:v>-2967.3244864646913</c:v>
                </c:pt>
                <c:pt idx="22">
                  <c:v>844.54017158610077</c:v>
                </c:pt>
                <c:pt idx="23">
                  <c:v>1706.3972332524718</c:v>
                </c:pt>
                <c:pt idx="24">
                  <c:v>-853.57873691145505</c:v>
                </c:pt>
                <c:pt idx="25">
                  <c:v>-2879.1323517880664</c:v>
                </c:pt>
                <c:pt idx="26">
                  <c:v>-1491.3525986606837</c:v>
                </c:pt>
                <c:pt idx="27">
                  <c:v>1870.8043957709451</c:v>
                </c:pt>
                <c:pt idx="28">
                  <c:v>2342.8395360159338</c:v>
                </c:pt>
                <c:pt idx="29">
                  <c:v>-2669.5535704045396</c:v>
                </c:pt>
                <c:pt idx="30">
                  <c:v>-2064.7767629662412</c:v>
                </c:pt>
                <c:pt idx="31">
                  <c:v>-1972.968329307434</c:v>
                </c:pt>
                <c:pt idx="32">
                  <c:v>3725.853592113941</c:v>
                </c:pt>
                <c:pt idx="33">
                  <c:v>2277.933846341999</c:v>
                </c:pt>
                <c:pt idx="34">
                  <c:v>40.676081870733469</c:v>
                </c:pt>
                <c:pt idx="35">
                  <c:v>2255.9268182930027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DF-4240-BD19-C5764B46C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636728"/>
        <c:axId val="360637712"/>
      </c:scatterChart>
      <c:valAx>
        <c:axId val="360636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60637712"/>
        <c:crosses val="autoZero"/>
        <c:crossBetween val="midCat"/>
      </c:valAx>
      <c:valAx>
        <c:axId val="360637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60636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7709973753280841E-2"/>
                  <c:y val="0.25884259259259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Data!$B$2:$B$37</c:f>
              <c:numCache>
                <c:formatCode>General</c:formatCode>
                <c:ptCount val="36"/>
                <c:pt idx="0">
                  <c:v>601</c:v>
                </c:pt>
                <c:pt idx="1">
                  <c:v>738</c:v>
                </c:pt>
                <c:pt idx="2">
                  <c:v>686</c:v>
                </c:pt>
                <c:pt idx="3">
                  <c:v>736</c:v>
                </c:pt>
                <c:pt idx="4">
                  <c:v>756</c:v>
                </c:pt>
                <c:pt idx="5">
                  <c:v>498</c:v>
                </c:pt>
                <c:pt idx="6">
                  <c:v>828</c:v>
                </c:pt>
                <c:pt idx="7">
                  <c:v>671</c:v>
                </c:pt>
                <c:pt idx="8">
                  <c:v>305</c:v>
                </c:pt>
                <c:pt idx="9">
                  <c:v>637</c:v>
                </c:pt>
                <c:pt idx="10">
                  <c:v>499</c:v>
                </c:pt>
                <c:pt idx="11">
                  <c:v>578</c:v>
                </c:pt>
                <c:pt idx="12">
                  <c:v>641</c:v>
                </c:pt>
                <c:pt idx="13">
                  <c:v>452</c:v>
                </c:pt>
                <c:pt idx="14">
                  <c:v>674</c:v>
                </c:pt>
                <c:pt idx="15">
                  <c:v>475</c:v>
                </c:pt>
                <c:pt idx="16">
                  <c:v>536</c:v>
                </c:pt>
                <c:pt idx="17">
                  <c:v>527</c:v>
                </c:pt>
                <c:pt idx="18">
                  <c:v>275</c:v>
                </c:pt>
                <c:pt idx="19">
                  <c:v>495</c:v>
                </c:pt>
                <c:pt idx="20">
                  <c:v>568</c:v>
                </c:pt>
                <c:pt idx="21">
                  <c:v>418</c:v>
                </c:pt>
                <c:pt idx="22">
                  <c:v>694</c:v>
                </c:pt>
                <c:pt idx="23">
                  <c:v>653</c:v>
                </c:pt>
                <c:pt idx="24">
                  <c:v>471</c:v>
                </c:pt>
                <c:pt idx="25">
                  <c:v>669</c:v>
                </c:pt>
                <c:pt idx="26">
                  <c:v>298</c:v>
                </c:pt>
                <c:pt idx="27">
                  <c:v>399</c:v>
                </c:pt>
                <c:pt idx="28">
                  <c:v>549</c:v>
                </c:pt>
                <c:pt idx="29">
                  <c:v>863</c:v>
                </c:pt>
                <c:pt idx="30">
                  <c:v>764</c:v>
                </c:pt>
                <c:pt idx="31">
                  <c:v>800</c:v>
                </c:pt>
                <c:pt idx="32">
                  <c:v>609</c:v>
                </c:pt>
                <c:pt idx="33">
                  <c:v>667</c:v>
                </c:pt>
                <c:pt idx="34">
                  <c:v>705</c:v>
                </c:pt>
                <c:pt idx="35">
                  <c:v>637</c:v>
                </c:pt>
              </c:numCache>
            </c:numRef>
          </c:xVal>
          <c:yVal>
            <c:numRef>
              <c:f>Data!$E$2:$E$37</c:f>
              <c:numCache>
                <c:formatCode>General</c:formatCode>
                <c:ptCount val="36"/>
                <c:pt idx="0">
                  <c:v>45623</c:v>
                </c:pt>
                <c:pt idx="1">
                  <c:v>46507</c:v>
                </c:pt>
                <c:pt idx="2">
                  <c:v>43343</c:v>
                </c:pt>
                <c:pt idx="3">
                  <c:v>46495</c:v>
                </c:pt>
                <c:pt idx="4">
                  <c:v>47317</c:v>
                </c:pt>
                <c:pt idx="5">
                  <c:v>41172</c:v>
                </c:pt>
                <c:pt idx="6">
                  <c:v>43974</c:v>
                </c:pt>
                <c:pt idx="7">
                  <c:v>44290</c:v>
                </c:pt>
                <c:pt idx="8">
                  <c:v>29297</c:v>
                </c:pt>
                <c:pt idx="9">
                  <c:v>47244</c:v>
                </c:pt>
                <c:pt idx="10">
                  <c:v>43185</c:v>
                </c:pt>
                <c:pt idx="11">
                  <c:v>42658</c:v>
                </c:pt>
                <c:pt idx="12">
                  <c:v>39178</c:v>
                </c:pt>
                <c:pt idx="13">
                  <c:v>41198</c:v>
                </c:pt>
                <c:pt idx="14">
                  <c:v>43505</c:v>
                </c:pt>
                <c:pt idx="15">
                  <c:v>35805</c:v>
                </c:pt>
                <c:pt idx="16">
                  <c:v>39181</c:v>
                </c:pt>
                <c:pt idx="17">
                  <c:v>40248</c:v>
                </c:pt>
                <c:pt idx="18">
                  <c:v>28157</c:v>
                </c:pt>
                <c:pt idx="19">
                  <c:v>34761</c:v>
                </c:pt>
                <c:pt idx="20">
                  <c:v>45148</c:v>
                </c:pt>
                <c:pt idx="21">
                  <c:v>33447</c:v>
                </c:pt>
                <c:pt idx="22">
                  <c:v>45686</c:v>
                </c:pt>
                <c:pt idx="23">
                  <c:v>45296</c:v>
                </c:pt>
                <c:pt idx="24">
                  <c:v>37179</c:v>
                </c:pt>
                <c:pt idx="25">
                  <c:v>41199</c:v>
                </c:pt>
                <c:pt idx="26">
                  <c:v>31259</c:v>
                </c:pt>
                <c:pt idx="27">
                  <c:v>37705</c:v>
                </c:pt>
                <c:pt idx="28">
                  <c:v>42757</c:v>
                </c:pt>
                <c:pt idx="29">
                  <c:v>47332</c:v>
                </c:pt>
                <c:pt idx="30">
                  <c:v>44914</c:v>
                </c:pt>
                <c:pt idx="31">
                  <c:v>46105</c:v>
                </c:pt>
                <c:pt idx="32">
                  <c:v>45972</c:v>
                </c:pt>
                <c:pt idx="33">
                  <c:v>46295</c:v>
                </c:pt>
                <c:pt idx="34">
                  <c:v>45218</c:v>
                </c:pt>
                <c:pt idx="35">
                  <c:v>45357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7-4C3C-93F2-0CDA607D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356680"/>
        <c:axId val="360353400"/>
      </c:scatterChart>
      <c:valAx>
        <c:axId val="36035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53400"/>
        <c:crosses val="autoZero"/>
        <c:crossBetween val="midCat"/>
      </c:valAx>
      <c:valAx>
        <c:axId val="36035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56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</xdr:row>
      <xdr:rowOff>9526</xdr:rowOff>
    </xdr:from>
    <xdr:to>
      <xdr:col>3</xdr:col>
      <xdr:colOff>266700</xdr:colOff>
      <xdr:row>3</xdr:row>
      <xdr:rowOff>9526</xdr:rowOff>
    </xdr:to>
    <xdr:sp macro="" textlink="">
      <xdr:nvSpPr>
        <xdr:cNvPr id="2" name="TextBox 1"/>
        <xdr:cNvSpPr txBox="1"/>
      </xdr:nvSpPr>
      <xdr:spPr>
        <a:xfrm>
          <a:off x="257175" y="200026"/>
          <a:ext cx="1838325" cy="38100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0</xdr:row>
      <xdr:rowOff>180975</xdr:rowOff>
    </xdr:from>
    <xdr:to>
      <xdr:col>20</xdr:col>
      <xdr:colOff>552449</xdr:colOff>
      <xdr:row>25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12</xdr:row>
      <xdr:rowOff>114300</xdr:rowOff>
    </xdr:from>
    <xdr:to>
      <xdr:col>20</xdr:col>
      <xdr:colOff>352425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B3" sqref="B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selection activeCell="B5" sqref="B5"/>
    </sheetView>
  </sheetViews>
  <sheetFormatPr defaultRowHeight="15" x14ac:dyDescent="0.25"/>
  <sheetData>
    <row r="1" spans="1:9" x14ac:dyDescent="0.25">
      <c r="A1" t="s">
        <v>3</v>
      </c>
    </row>
    <row r="2" spans="1:9" ht="15.75" thickBot="1" x14ac:dyDescent="0.3"/>
    <row r="3" spans="1:9" x14ac:dyDescent="0.25">
      <c r="A3" s="7" t="s">
        <v>4</v>
      </c>
      <c r="B3" s="7"/>
    </row>
    <row r="4" spans="1:9" x14ac:dyDescent="0.25">
      <c r="A4" s="4" t="s">
        <v>5</v>
      </c>
      <c r="B4" s="4">
        <v>0.8578568512492335</v>
      </c>
    </row>
    <row r="5" spans="1:9" x14ac:dyDescent="0.25">
      <c r="A5" s="4" t="s">
        <v>6</v>
      </c>
      <c r="B5" s="4">
        <v>0.73591837723524944</v>
      </c>
    </row>
    <row r="6" spans="1:9" x14ac:dyDescent="0.25">
      <c r="A6" s="4" t="s">
        <v>7</v>
      </c>
      <c r="B6" s="4">
        <v>0.72815127068334506</v>
      </c>
    </row>
    <row r="7" spans="1:9" x14ac:dyDescent="0.25">
      <c r="A7" s="4" t="s">
        <v>8</v>
      </c>
      <c r="B7" s="4">
        <v>2733.7423993605503</v>
      </c>
    </row>
    <row r="8" spans="1:9" ht="15.75" thickBot="1" x14ac:dyDescent="0.3">
      <c r="A8" s="5" t="s">
        <v>9</v>
      </c>
      <c r="B8" s="5">
        <v>36</v>
      </c>
    </row>
    <row r="10" spans="1:9" ht="15.75" thickBot="1" x14ac:dyDescent="0.3">
      <c r="A10" t="s">
        <v>10</v>
      </c>
    </row>
    <row r="11" spans="1:9" x14ac:dyDescent="0.25">
      <c r="A11" s="6"/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</row>
    <row r="12" spans="1:9" x14ac:dyDescent="0.25">
      <c r="A12" s="4" t="s">
        <v>11</v>
      </c>
      <c r="B12" s="4">
        <v>1</v>
      </c>
      <c r="C12" s="4">
        <v>708085273.76612842</v>
      </c>
      <c r="D12" s="4">
        <v>708085273.76612842</v>
      </c>
      <c r="E12" s="4">
        <v>94.748072827043799</v>
      </c>
      <c r="F12" s="4">
        <v>2.3169135163410128E-11</v>
      </c>
    </row>
    <row r="13" spans="1:9" x14ac:dyDescent="0.25">
      <c r="A13" s="4" t="s">
        <v>12</v>
      </c>
      <c r="B13" s="4">
        <v>34</v>
      </c>
      <c r="C13" s="4">
        <v>254093815.20609364</v>
      </c>
      <c r="D13" s="4">
        <v>7473347.5060615772</v>
      </c>
      <c r="E13" s="4"/>
      <c r="F13" s="4"/>
    </row>
    <row r="14" spans="1:9" ht="15.75" thickBot="1" x14ac:dyDescent="0.3">
      <c r="A14" s="5" t="s">
        <v>13</v>
      </c>
      <c r="B14" s="5">
        <v>35</v>
      </c>
      <c r="C14" s="5">
        <v>962179088.97222209</v>
      </c>
      <c r="D14" s="5"/>
      <c r="E14" s="5"/>
      <c r="F14" s="5"/>
    </row>
    <row r="15" spans="1:9" ht="15.75" thickBot="1" x14ac:dyDescent="0.3"/>
    <row r="16" spans="1:9" x14ac:dyDescent="0.25">
      <c r="A16" s="6"/>
      <c r="B16" s="6" t="s">
        <v>20</v>
      </c>
      <c r="C16" s="6" t="s">
        <v>8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</row>
    <row r="17" spans="1:9" x14ac:dyDescent="0.25">
      <c r="A17" s="4" t="s">
        <v>14</v>
      </c>
      <c r="B17" s="4">
        <v>23651.489077280738</v>
      </c>
      <c r="C17" s="4">
        <v>1917.1370193271844</v>
      </c>
      <c r="D17" s="4">
        <v>12.336879857226471</v>
      </c>
      <c r="E17" s="4">
        <v>4.1655869587247061E-14</v>
      </c>
      <c r="F17" s="4">
        <v>19755.397896143331</v>
      </c>
      <c r="G17" s="4">
        <v>27547.580258418144</v>
      </c>
      <c r="H17" s="4">
        <v>19755.397896143331</v>
      </c>
      <c r="I17" s="4">
        <v>27547.580258418144</v>
      </c>
    </row>
    <row r="18" spans="1:9" ht="15.75" thickBot="1" x14ac:dyDescent="0.3">
      <c r="A18" s="5" t="s">
        <v>2</v>
      </c>
      <c r="B18" s="5">
        <v>30.533099065033376</v>
      </c>
      <c r="C18" s="5">
        <v>3.1367918014954257</v>
      </c>
      <c r="D18" s="5">
        <v>9.7338621742371014</v>
      </c>
      <c r="E18" s="5">
        <v>2.3169135163410128E-11</v>
      </c>
      <c r="F18" s="5">
        <v>24.158371149571462</v>
      </c>
      <c r="G18" s="5">
        <v>36.907826980495294</v>
      </c>
      <c r="H18" s="5">
        <v>24.158371149571462</v>
      </c>
      <c r="I18" s="5">
        <v>36.907826980495294</v>
      </c>
    </row>
    <row r="22" spans="1:9" x14ac:dyDescent="0.25">
      <c r="A22" t="s">
        <v>27</v>
      </c>
    </row>
    <row r="23" spans="1:9" ht="15.75" thickBot="1" x14ac:dyDescent="0.3"/>
    <row r="24" spans="1:9" x14ac:dyDescent="0.25">
      <c r="A24" s="6" t="s">
        <v>28</v>
      </c>
      <c r="B24" s="6" t="s">
        <v>29</v>
      </c>
      <c r="C24" s="6" t="s">
        <v>30</v>
      </c>
    </row>
    <row r="25" spans="1:9" x14ac:dyDescent="0.25">
      <c r="A25" s="4">
        <v>1</v>
      </c>
      <c r="B25" s="4">
        <v>42001.881615365797</v>
      </c>
      <c r="C25" s="4">
        <v>3621.1183846342028</v>
      </c>
    </row>
    <row r="26" spans="1:9" x14ac:dyDescent="0.25">
      <c r="A26" s="4">
        <v>2</v>
      </c>
      <c r="B26" s="4">
        <v>46184.916187275368</v>
      </c>
      <c r="C26" s="4">
        <v>322.08381272463157</v>
      </c>
    </row>
    <row r="27" spans="1:9" x14ac:dyDescent="0.25">
      <c r="A27" s="4">
        <v>3</v>
      </c>
      <c r="B27" s="4">
        <v>44597.19503589363</v>
      </c>
      <c r="C27" s="4">
        <v>-1254.1950358936301</v>
      </c>
    </row>
    <row r="28" spans="1:9" x14ac:dyDescent="0.25">
      <c r="A28" s="4">
        <v>4</v>
      </c>
      <c r="B28" s="4">
        <v>46123.849989145303</v>
      </c>
      <c r="C28" s="4">
        <v>371.15001085469703</v>
      </c>
    </row>
    <row r="29" spans="1:9" x14ac:dyDescent="0.25">
      <c r="A29" s="4">
        <v>5</v>
      </c>
      <c r="B29" s="4">
        <v>46734.511970445965</v>
      </c>
      <c r="C29" s="4">
        <v>582.48802955403517</v>
      </c>
    </row>
    <row r="30" spans="1:9" x14ac:dyDescent="0.25">
      <c r="A30" s="4">
        <v>6</v>
      </c>
      <c r="B30" s="4">
        <v>38856.972411667361</v>
      </c>
      <c r="C30" s="4">
        <v>2315.0275883326394</v>
      </c>
    </row>
    <row r="31" spans="1:9" x14ac:dyDescent="0.25">
      <c r="A31" s="4">
        <v>7</v>
      </c>
      <c r="B31" s="4">
        <v>48932.895103128372</v>
      </c>
      <c r="C31" s="4">
        <v>-4958.8951031283723</v>
      </c>
    </row>
    <row r="32" spans="1:9" x14ac:dyDescent="0.25">
      <c r="A32" s="4">
        <v>8</v>
      </c>
      <c r="B32" s="4">
        <v>44139.198549918132</v>
      </c>
      <c r="C32" s="4">
        <v>150.8014500818681</v>
      </c>
    </row>
    <row r="33" spans="1:3" x14ac:dyDescent="0.25">
      <c r="A33" s="4">
        <v>9</v>
      </c>
      <c r="B33" s="4">
        <v>32964.08429211592</v>
      </c>
      <c r="C33" s="4">
        <v>-3667.0842921159201</v>
      </c>
    </row>
    <row r="34" spans="1:3" x14ac:dyDescent="0.25">
      <c r="A34" s="4">
        <v>10</v>
      </c>
      <c r="B34" s="4">
        <v>43101.073181706997</v>
      </c>
      <c r="C34" s="4">
        <v>4142.9268182930027</v>
      </c>
    </row>
    <row r="35" spans="1:3" x14ac:dyDescent="0.25">
      <c r="A35" s="4">
        <v>11</v>
      </c>
      <c r="B35" s="4">
        <v>38887.505510732393</v>
      </c>
      <c r="C35" s="4">
        <v>4297.4944892676067</v>
      </c>
    </row>
    <row r="36" spans="1:3" x14ac:dyDescent="0.25">
      <c r="A36" s="4">
        <v>12</v>
      </c>
      <c r="B36" s="4">
        <v>41299.62033687003</v>
      </c>
      <c r="C36" s="4">
        <v>1358.3796631299701</v>
      </c>
    </row>
    <row r="37" spans="1:3" x14ac:dyDescent="0.25">
      <c r="A37" s="4">
        <v>13</v>
      </c>
      <c r="B37" s="4">
        <v>43223.205577967135</v>
      </c>
      <c r="C37" s="4">
        <v>-4045.2055779671355</v>
      </c>
    </row>
    <row r="38" spans="1:3" x14ac:dyDescent="0.25">
      <c r="A38" s="4">
        <v>14</v>
      </c>
      <c r="B38" s="4">
        <v>37452.449854675826</v>
      </c>
      <c r="C38" s="4">
        <v>3745.5501453241741</v>
      </c>
    </row>
    <row r="39" spans="1:3" x14ac:dyDescent="0.25">
      <c r="A39" s="4">
        <v>15</v>
      </c>
      <c r="B39" s="4">
        <v>44230.797847113237</v>
      </c>
      <c r="C39" s="4">
        <v>-725.79784711323737</v>
      </c>
    </row>
    <row r="40" spans="1:3" x14ac:dyDescent="0.25">
      <c r="A40" s="4">
        <v>16</v>
      </c>
      <c r="B40" s="4">
        <v>38154.711133171593</v>
      </c>
      <c r="C40" s="4">
        <v>-2349.7111331715932</v>
      </c>
    </row>
    <row r="41" spans="1:3" x14ac:dyDescent="0.25">
      <c r="A41" s="4">
        <v>17</v>
      </c>
      <c r="B41" s="4">
        <v>40017.230176138626</v>
      </c>
      <c r="C41" s="4">
        <v>-836.23017613862612</v>
      </c>
    </row>
    <row r="42" spans="1:3" x14ac:dyDescent="0.25">
      <c r="A42" s="4">
        <v>18</v>
      </c>
      <c r="B42" s="4">
        <v>39742.432284553324</v>
      </c>
      <c r="C42" s="4">
        <v>505.56771544667572</v>
      </c>
    </row>
    <row r="43" spans="1:3" x14ac:dyDescent="0.25">
      <c r="A43" s="4">
        <v>19</v>
      </c>
      <c r="B43" s="4">
        <v>32048.091320164916</v>
      </c>
      <c r="C43" s="4">
        <v>-3891.0913201649164</v>
      </c>
    </row>
    <row r="44" spans="1:3" x14ac:dyDescent="0.25">
      <c r="A44" s="4">
        <v>20</v>
      </c>
      <c r="B44" s="4">
        <v>38765.373114472255</v>
      </c>
      <c r="C44" s="4">
        <v>-4004.3731144722551</v>
      </c>
    </row>
    <row r="45" spans="1:3" x14ac:dyDescent="0.25">
      <c r="A45" s="4">
        <v>21</v>
      </c>
      <c r="B45" s="4">
        <v>40994.289346219695</v>
      </c>
      <c r="C45" s="4">
        <v>4153.7106537803047</v>
      </c>
    </row>
    <row r="46" spans="1:3" x14ac:dyDescent="0.25">
      <c r="A46" s="4">
        <v>22</v>
      </c>
      <c r="B46" s="4">
        <v>36414.324486464691</v>
      </c>
      <c r="C46" s="4">
        <v>-2967.3244864646913</v>
      </c>
    </row>
    <row r="47" spans="1:3" x14ac:dyDescent="0.25">
      <c r="A47" s="4">
        <v>23</v>
      </c>
      <c r="B47" s="4">
        <v>44841.459828413899</v>
      </c>
      <c r="C47" s="4">
        <v>844.54017158610077</v>
      </c>
    </row>
    <row r="48" spans="1:3" x14ac:dyDescent="0.25">
      <c r="A48" s="4">
        <v>24</v>
      </c>
      <c r="B48" s="4">
        <v>43589.602766747528</v>
      </c>
      <c r="C48" s="4">
        <v>1706.3972332524718</v>
      </c>
    </row>
    <row r="49" spans="1:3" x14ac:dyDescent="0.25">
      <c r="A49" s="4">
        <v>25</v>
      </c>
      <c r="B49" s="4">
        <v>38032.578736911455</v>
      </c>
      <c r="C49" s="4">
        <v>-853.57873691145505</v>
      </c>
    </row>
    <row r="50" spans="1:3" x14ac:dyDescent="0.25">
      <c r="A50" s="4">
        <v>26</v>
      </c>
      <c r="B50" s="4">
        <v>44078.132351788066</v>
      </c>
      <c r="C50" s="4">
        <v>-2879.1323517880664</v>
      </c>
    </row>
    <row r="51" spans="1:3" x14ac:dyDescent="0.25">
      <c r="A51" s="4">
        <v>27</v>
      </c>
      <c r="B51" s="4">
        <v>32750.352598660684</v>
      </c>
      <c r="C51" s="4">
        <v>-1491.3525986606837</v>
      </c>
    </row>
    <row r="52" spans="1:3" x14ac:dyDescent="0.25">
      <c r="A52" s="4">
        <v>28</v>
      </c>
      <c r="B52" s="4">
        <v>35834.195604229055</v>
      </c>
      <c r="C52" s="4">
        <v>1870.8043957709451</v>
      </c>
    </row>
    <row r="53" spans="1:3" x14ac:dyDescent="0.25">
      <c r="A53" s="4">
        <v>29</v>
      </c>
      <c r="B53" s="4">
        <v>40414.160463984066</v>
      </c>
      <c r="C53" s="4">
        <v>2342.8395360159338</v>
      </c>
    </row>
    <row r="54" spans="1:3" x14ac:dyDescent="0.25">
      <c r="A54" s="4">
        <v>30</v>
      </c>
      <c r="B54" s="4">
        <v>50001.55357040454</v>
      </c>
      <c r="C54" s="4">
        <v>-2669.5535704045396</v>
      </c>
    </row>
    <row r="55" spans="1:3" x14ac:dyDescent="0.25">
      <c r="A55" s="4">
        <v>31</v>
      </c>
      <c r="B55" s="4">
        <v>46978.776762966241</v>
      </c>
      <c r="C55" s="4">
        <v>-2064.7767629662412</v>
      </c>
    </row>
    <row r="56" spans="1:3" x14ac:dyDescent="0.25">
      <c r="A56" s="4">
        <v>32</v>
      </c>
      <c r="B56" s="4">
        <v>48077.968329307434</v>
      </c>
      <c r="C56" s="4">
        <v>-1972.968329307434</v>
      </c>
    </row>
    <row r="57" spans="1:3" x14ac:dyDescent="0.25">
      <c r="A57" s="4">
        <v>33</v>
      </c>
      <c r="B57" s="4">
        <v>42246.146407886059</v>
      </c>
      <c r="C57" s="4">
        <v>3725.853592113941</v>
      </c>
    </row>
    <row r="58" spans="1:3" x14ac:dyDescent="0.25">
      <c r="A58" s="4">
        <v>34</v>
      </c>
      <c r="B58" s="4">
        <v>44017.066153658001</v>
      </c>
      <c r="C58" s="4">
        <v>2277.933846341999</v>
      </c>
    </row>
    <row r="59" spans="1:3" x14ac:dyDescent="0.25">
      <c r="A59" s="4">
        <v>35</v>
      </c>
      <c r="B59" s="4">
        <v>45177.323918129267</v>
      </c>
      <c r="C59" s="4">
        <v>40.676081870733469</v>
      </c>
    </row>
    <row r="60" spans="1:3" ht="15.75" thickBot="1" x14ac:dyDescent="0.3">
      <c r="A60" s="5">
        <v>36</v>
      </c>
      <c r="B60" s="5">
        <v>43101.073181706997</v>
      </c>
      <c r="C60" s="5">
        <v>2255.9268182930027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B5" sqref="B5"/>
    </sheetView>
  </sheetViews>
  <sheetFormatPr defaultRowHeight="15" x14ac:dyDescent="0.25"/>
  <sheetData>
    <row r="1" spans="1:6" x14ac:dyDescent="0.25">
      <c r="A1" t="s">
        <v>3</v>
      </c>
    </row>
    <row r="2" spans="1:6" ht="15.75" thickBot="1" x14ac:dyDescent="0.3"/>
    <row r="3" spans="1:6" x14ac:dyDescent="0.25">
      <c r="A3" s="7" t="s">
        <v>4</v>
      </c>
      <c r="B3" s="7"/>
    </row>
    <row r="4" spans="1:6" x14ac:dyDescent="0.25">
      <c r="A4" s="4" t="s">
        <v>5</v>
      </c>
      <c r="B4" s="4">
        <v>0.90641303840175103</v>
      </c>
    </row>
    <row r="5" spans="1:6" x14ac:dyDescent="0.25">
      <c r="A5" s="4" t="s">
        <v>6</v>
      </c>
      <c r="B5" s="4">
        <v>0.82158459618469426</v>
      </c>
    </row>
    <row r="6" spans="1:6" x14ac:dyDescent="0.25">
      <c r="A6" s="4" t="s">
        <v>7</v>
      </c>
      <c r="B6" s="4">
        <v>0.81077154140800911</v>
      </c>
    </row>
    <row r="7" spans="1:6" x14ac:dyDescent="0.25">
      <c r="A7" s="4" t="s">
        <v>8</v>
      </c>
      <c r="B7" s="4">
        <v>2280.7997713562781</v>
      </c>
    </row>
    <row r="8" spans="1:6" ht="15.75" thickBot="1" x14ac:dyDescent="0.3">
      <c r="A8" s="5" t="s">
        <v>9</v>
      </c>
      <c r="B8" s="5">
        <v>36</v>
      </c>
    </row>
    <row r="10" spans="1:6" ht="15.75" thickBot="1" x14ac:dyDescent="0.3">
      <c r="A10" t="s">
        <v>10</v>
      </c>
    </row>
    <row r="11" spans="1:6" x14ac:dyDescent="0.25">
      <c r="A11" s="6"/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</row>
    <row r="12" spans="1:6" x14ac:dyDescent="0.25">
      <c r="A12" s="4" t="s">
        <v>11</v>
      </c>
      <c r="B12" s="4">
        <v>2</v>
      </c>
      <c r="C12" s="4">
        <v>790511518.27060008</v>
      </c>
      <c r="D12" s="4">
        <v>395255759.13530004</v>
      </c>
      <c r="E12" s="4">
        <v>75.980804051429701</v>
      </c>
      <c r="F12" s="4">
        <v>4.4528055440052014E-13</v>
      </c>
    </row>
    <row r="13" spans="1:6" x14ac:dyDescent="0.25">
      <c r="A13" s="4" t="s">
        <v>12</v>
      </c>
      <c r="B13" s="4">
        <v>33</v>
      </c>
      <c r="C13" s="4">
        <v>171667570.70162207</v>
      </c>
      <c r="D13" s="4">
        <v>5202047.597018851</v>
      </c>
      <c r="E13" s="4"/>
      <c r="F13" s="4"/>
    </row>
    <row r="14" spans="1:6" ht="15.75" thickBot="1" x14ac:dyDescent="0.3">
      <c r="A14" s="5" t="s">
        <v>13</v>
      </c>
      <c r="B14" s="5">
        <v>35</v>
      </c>
      <c r="C14" s="5">
        <v>962179088.97222209</v>
      </c>
      <c r="D14" s="5"/>
      <c r="E14" s="5"/>
      <c r="F14" s="5"/>
    </row>
    <row r="23" spans="1:3" x14ac:dyDescent="0.25">
      <c r="A23" t="s">
        <v>27</v>
      </c>
    </row>
    <row r="24" spans="1:3" ht="15.75" thickBot="1" x14ac:dyDescent="0.3"/>
    <row r="25" spans="1:3" x14ac:dyDescent="0.25">
      <c r="A25" s="6" t="s">
        <v>28</v>
      </c>
      <c r="B25" s="6" t="s">
        <v>29</v>
      </c>
      <c r="C25" s="6" t="s">
        <v>30</v>
      </c>
    </row>
    <row r="26" spans="1:3" x14ac:dyDescent="0.25">
      <c r="A26" s="4">
        <v>1</v>
      </c>
      <c r="B26" s="4">
        <v>43239.101113778219</v>
      </c>
      <c r="C26" s="4">
        <v>2383.8988862217811</v>
      </c>
    </row>
    <row r="27" spans="1:3" x14ac:dyDescent="0.25">
      <c r="A27" s="4">
        <v>2</v>
      </c>
      <c r="B27" s="4">
        <v>45711.490581733509</v>
      </c>
      <c r="C27" s="4">
        <v>795.50941826649068</v>
      </c>
    </row>
    <row r="28" spans="1:3" x14ac:dyDescent="0.25">
      <c r="A28" s="4">
        <v>3</v>
      </c>
      <c r="B28" s="4">
        <v>45038.145729730342</v>
      </c>
      <c r="C28" s="4">
        <v>-1695.1457297303423</v>
      </c>
    </row>
    <row r="29" spans="1:3" x14ac:dyDescent="0.25">
      <c r="A29" s="4">
        <v>4</v>
      </c>
      <c r="B29" s="4">
        <v>45691.589995740462</v>
      </c>
      <c r="C29" s="4">
        <v>803.41000425953825</v>
      </c>
    </row>
    <row r="30" spans="1:3" x14ac:dyDescent="0.25">
      <c r="A30" s="4">
        <v>5</v>
      </c>
      <c r="B30" s="4">
        <v>45869.005601122371</v>
      </c>
      <c r="C30" s="4">
        <v>1447.9943988776286</v>
      </c>
    </row>
    <row r="31" spans="1:3" x14ac:dyDescent="0.25">
      <c r="A31" s="4">
        <v>6</v>
      </c>
      <c r="B31" s="4">
        <v>39897.766540865196</v>
      </c>
      <c r="C31" s="4">
        <v>1274.2334591348044</v>
      </c>
    </row>
    <row r="32" spans="1:3" x14ac:dyDescent="0.25">
      <c r="A32" s="4">
        <v>7</v>
      </c>
      <c r="B32" s="4">
        <v>46110.441096804054</v>
      </c>
      <c r="C32" s="4">
        <v>-2136.4410968040538</v>
      </c>
    </row>
    <row r="33" spans="1:3" x14ac:dyDescent="0.25">
      <c r="A33" s="4">
        <v>8</v>
      </c>
      <c r="B33" s="4">
        <v>44783.638843858324</v>
      </c>
      <c r="C33" s="4">
        <v>-493.63884385832353</v>
      </c>
    </row>
    <row r="34" spans="1:3" x14ac:dyDescent="0.25">
      <c r="A34" s="4">
        <v>9</v>
      </c>
      <c r="B34" s="4">
        <v>30210.685729201796</v>
      </c>
      <c r="C34" s="4">
        <v>-913.68572920179577</v>
      </c>
    </row>
    <row r="35" spans="1:3" x14ac:dyDescent="0.25">
      <c r="A35" s="4">
        <v>10</v>
      </c>
      <c r="B35" s="4">
        <v>44106.84166899875</v>
      </c>
      <c r="C35" s="4">
        <v>3137.1583310012502</v>
      </c>
    </row>
    <row r="36" spans="1:3" x14ac:dyDescent="0.25">
      <c r="A36" s="4">
        <v>11</v>
      </c>
      <c r="B36" s="4">
        <v>39936.323921138544</v>
      </c>
      <c r="C36" s="4">
        <v>3248.6760788614556</v>
      </c>
    </row>
    <row r="37" spans="1:3" x14ac:dyDescent="0.25">
      <c r="A37" s="4">
        <v>12</v>
      </c>
      <c r="B37" s="4">
        <v>42603.328049547388</v>
      </c>
      <c r="C37" s="4">
        <v>54.671950452611782</v>
      </c>
    </row>
    <row r="38" spans="1:3" x14ac:dyDescent="0.25">
      <c r="A38" s="4">
        <v>13</v>
      </c>
      <c r="B38" s="4">
        <v>44193.661617557234</v>
      </c>
      <c r="C38" s="4">
        <v>-5015.6616175572344</v>
      </c>
    </row>
    <row r="39" spans="1:3" x14ac:dyDescent="0.25">
      <c r="A39" s="4">
        <v>14</v>
      </c>
      <c r="B39" s="4">
        <v>37994.465575141352</v>
      </c>
      <c r="C39" s="4">
        <v>3203.534424858648</v>
      </c>
    </row>
    <row r="40" spans="1:3" x14ac:dyDescent="0.25">
      <c r="A40" s="4">
        <v>15</v>
      </c>
      <c r="B40" s="4">
        <v>44836.69924648758</v>
      </c>
      <c r="C40" s="4">
        <v>-1331.6992464875802</v>
      </c>
    </row>
    <row r="41" spans="1:3" x14ac:dyDescent="0.25">
      <c r="A41" s="4">
        <v>16</v>
      </c>
      <c r="B41" s="4">
        <v>38977.841737603776</v>
      </c>
      <c r="C41" s="4">
        <v>-3172.841737603776</v>
      </c>
    </row>
    <row r="42" spans="1:3" x14ac:dyDescent="0.25">
      <c r="A42" s="4">
        <v>17</v>
      </c>
      <c r="B42" s="4">
        <v>41278.625052654461</v>
      </c>
      <c r="C42" s="4">
        <v>-2097.6250526544609</v>
      </c>
    </row>
    <row r="43" spans="1:3" x14ac:dyDescent="0.25">
      <c r="A43" s="4">
        <v>18</v>
      </c>
      <c r="B43" s="4">
        <v>40967.232550199442</v>
      </c>
      <c r="C43" s="4">
        <v>-719.2325501994419</v>
      </c>
    </row>
    <row r="44" spans="1:3" x14ac:dyDescent="0.25">
      <c r="A44" s="4">
        <v>19</v>
      </c>
      <c r="B44" s="4">
        <v>28303.702975439403</v>
      </c>
      <c r="C44" s="4">
        <v>-146.70297543940251</v>
      </c>
    </row>
    <row r="45" spans="1:3" x14ac:dyDescent="0.25">
      <c r="A45" s="4">
        <v>20</v>
      </c>
      <c r="B45" s="4">
        <v>39781.374724893547</v>
      </c>
      <c r="C45" s="4">
        <v>-5020.374724893547</v>
      </c>
    </row>
    <row r="46" spans="1:3" x14ac:dyDescent="0.25">
      <c r="A46" s="4">
        <v>21</v>
      </c>
      <c r="B46" s="4">
        <v>42307.113911473178</v>
      </c>
      <c r="C46" s="4">
        <v>2840.8860885268223</v>
      </c>
    </row>
    <row r="47" spans="1:3" x14ac:dyDescent="0.25">
      <c r="A47" s="4">
        <v>22</v>
      </c>
      <c r="B47" s="4">
        <v>36424.551537123596</v>
      </c>
      <c r="C47" s="4">
        <v>-2977.5515371235961</v>
      </c>
    </row>
    <row r="48" spans="1:3" x14ac:dyDescent="0.25">
      <c r="A48" s="4">
        <v>23</v>
      </c>
      <c r="B48" s="4">
        <v>45162.847716537261</v>
      </c>
      <c r="C48" s="4">
        <v>523.15228346273943</v>
      </c>
    </row>
    <row r="49" spans="1:3" x14ac:dyDescent="0.25">
      <c r="A49" s="4">
        <v>24</v>
      </c>
      <c r="B49" s="4">
        <v>44442.606660806799</v>
      </c>
      <c r="C49" s="4">
        <v>853.39333919320052</v>
      </c>
    </row>
    <row r="50" spans="1:3" x14ac:dyDescent="0.25">
      <c r="A50" s="4">
        <v>25</v>
      </c>
      <c r="B50" s="4">
        <v>38811.377738932875</v>
      </c>
      <c r="C50" s="4">
        <v>-1632.3777389328752</v>
      </c>
    </row>
    <row r="51" spans="1:3" x14ac:dyDescent="0.25">
      <c r="A51" s="4">
        <v>26</v>
      </c>
      <c r="B51" s="4">
        <v>44747.665512812469</v>
      </c>
      <c r="C51" s="4">
        <v>-3548.6655128124694</v>
      </c>
    </row>
    <row r="52" spans="1:3" x14ac:dyDescent="0.25">
      <c r="A52" s="4">
        <v>27</v>
      </c>
      <c r="B52" s="4">
        <v>29775.37872827478</v>
      </c>
      <c r="C52" s="4">
        <v>1483.6212717252201</v>
      </c>
    </row>
    <row r="53" spans="1:3" x14ac:dyDescent="0.25">
      <c r="A53" s="4">
        <v>28</v>
      </c>
      <c r="B53" s="4">
        <v>35486.853893718813</v>
      </c>
      <c r="C53" s="4">
        <v>2218.1461062811868</v>
      </c>
    </row>
    <row r="54" spans="1:3" x14ac:dyDescent="0.25">
      <c r="A54" s="4">
        <v>29</v>
      </c>
      <c r="B54" s="4">
        <v>41711.26196508704</v>
      </c>
      <c r="C54" s="4">
        <v>1045.7380349129598</v>
      </c>
    </row>
    <row r="55" spans="1:3" x14ac:dyDescent="0.25">
      <c r="A55" s="4">
        <v>30</v>
      </c>
      <c r="B55" s="4">
        <v>46003.206953637367</v>
      </c>
      <c r="C55" s="4">
        <v>1328.7930463626326</v>
      </c>
    </row>
    <row r="56" spans="1:3" x14ac:dyDescent="0.25">
      <c r="A56" s="4">
        <v>31</v>
      </c>
      <c r="B56" s="4">
        <v>45926.537907111604</v>
      </c>
      <c r="C56" s="4">
        <v>-1012.537907111604</v>
      </c>
    </row>
    <row r="57" spans="1:3" x14ac:dyDescent="0.25">
      <c r="A57" s="4">
        <v>32</v>
      </c>
      <c r="B57" s="4">
        <v>46090.436164049548</v>
      </c>
      <c r="C57" s="4">
        <v>14.563835950451903</v>
      </c>
    </row>
    <row r="58" spans="1:3" x14ac:dyDescent="0.25">
      <c r="A58" s="4">
        <v>33</v>
      </c>
      <c r="B58" s="4">
        <v>43445.366284435215</v>
      </c>
      <c r="C58" s="4">
        <v>2526.6337155647852</v>
      </c>
    </row>
    <row r="59" spans="1:3" x14ac:dyDescent="0.25">
      <c r="A59" s="4">
        <v>34</v>
      </c>
      <c r="B59" s="4">
        <v>44711.212398332202</v>
      </c>
      <c r="C59" s="4">
        <v>1583.7876016677983</v>
      </c>
    </row>
    <row r="60" spans="1:3" x14ac:dyDescent="0.25">
      <c r="A60" s="4">
        <v>35</v>
      </c>
      <c r="B60" s="4">
        <v>45321.778606172767</v>
      </c>
      <c r="C60" s="4">
        <v>-103.77860617276747</v>
      </c>
    </row>
    <row r="61" spans="1:3" ht="15.75" thickBot="1" x14ac:dyDescent="0.3">
      <c r="A61" s="5">
        <v>36</v>
      </c>
      <c r="B61" s="5">
        <v>44106.84166899875</v>
      </c>
      <c r="C61" s="5">
        <v>1250.1583310012502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5" sqref="B5"/>
    </sheetView>
  </sheetViews>
  <sheetFormatPr defaultRowHeight="15" x14ac:dyDescent="0.25"/>
  <sheetData>
    <row r="1" spans="1:9" x14ac:dyDescent="0.25">
      <c r="A1" t="s">
        <v>3</v>
      </c>
    </row>
    <row r="2" spans="1:9" ht="15.75" thickBot="1" x14ac:dyDescent="0.3"/>
    <row r="3" spans="1:9" x14ac:dyDescent="0.25">
      <c r="A3" s="7" t="s">
        <v>4</v>
      </c>
      <c r="B3" s="7"/>
    </row>
    <row r="4" spans="1:9" x14ac:dyDescent="0.25">
      <c r="A4" s="4" t="s">
        <v>5</v>
      </c>
      <c r="B4" s="4">
        <v>0.89312693581670732</v>
      </c>
    </row>
    <row r="5" spans="1:9" x14ac:dyDescent="0.25">
      <c r="A5" s="4" t="s">
        <v>6</v>
      </c>
      <c r="B5" s="4">
        <v>0.79767572348134086</v>
      </c>
    </row>
    <row r="6" spans="1:9" x14ac:dyDescent="0.25">
      <c r="A6" s="4" t="s">
        <v>7</v>
      </c>
      <c r="B6" s="4">
        <v>0.79172500946608615</v>
      </c>
    </row>
    <row r="7" spans="1:9" x14ac:dyDescent="0.25">
      <c r="A7" s="4" t="s">
        <v>8</v>
      </c>
      <c r="B7" s="4">
        <v>2392.8335901044147</v>
      </c>
    </row>
    <row r="8" spans="1:9" ht="15.75" thickBot="1" x14ac:dyDescent="0.3">
      <c r="A8" s="5" t="s">
        <v>9</v>
      </c>
      <c r="B8" s="5">
        <v>36</v>
      </c>
    </row>
    <row r="10" spans="1:9" ht="15.75" thickBot="1" x14ac:dyDescent="0.3">
      <c r="A10" t="s">
        <v>10</v>
      </c>
    </row>
    <row r="11" spans="1:9" x14ac:dyDescent="0.25">
      <c r="A11" s="6"/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</row>
    <row r="12" spans="1:9" x14ac:dyDescent="0.25">
      <c r="A12" s="4" t="s">
        <v>11</v>
      </c>
      <c r="B12" s="4">
        <v>1</v>
      </c>
      <c r="C12" s="4">
        <v>767506900.91453469</v>
      </c>
      <c r="D12" s="4">
        <v>767506900.91453469</v>
      </c>
      <c r="E12" s="4">
        <v>134.04706081261776</v>
      </c>
      <c r="F12" s="4">
        <v>2.4093483099626515E-13</v>
      </c>
    </row>
    <row r="13" spans="1:9" x14ac:dyDescent="0.25">
      <c r="A13" s="4" t="s">
        <v>12</v>
      </c>
      <c r="B13" s="4">
        <v>34</v>
      </c>
      <c r="C13" s="4">
        <v>194672188.05768737</v>
      </c>
      <c r="D13" s="4">
        <v>5725652.5899319816</v>
      </c>
      <c r="E13" s="4"/>
      <c r="F13" s="4"/>
    </row>
    <row r="14" spans="1:9" ht="15.75" thickBot="1" x14ac:dyDescent="0.3">
      <c r="A14" s="5" t="s">
        <v>13</v>
      </c>
      <c r="B14" s="5">
        <v>35</v>
      </c>
      <c r="C14" s="5">
        <v>962179088.97222209</v>
      </c>
      <c r="D14" s="5"/>
      <c r="E14" s="5"/>
      <c r="F14" s="5"/>
    </row>
    <row r="15" spans="1:9" ht="15.75" thickBot="1" x14ac:dyDescent="0.3"/>
    <row r="16" spans="1:9" x14ac:dyDescent="0.25">
      <c r="A16" s="6"/>
      <c r="B16" s="6" t="s">
        <v>20</v>
      </c>
      <c r="C16" s="6" t="s">
        <v>8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</row>
    <row r="17" spans="1:9" x14ac:dyDescent="0.25">
      <c r="A17" s="4" t="s">
        <v>14</v>
      </c>
      <c r="B17" s="4">
        <v>-63993.306457849831</v>
      </c>
      <c r="C17" s="4">
        <v>9144.3432685750813</v>
      </c>
      <c r="D17" s="4">
        <v>-6.9981303827214703</v>
      </c>
      <c r="E17" s="4">
        <v>4.4937916720276533E-8</v>
      </c>
      <c r="F17" s="4">
        <v>-82576.847856727982</v>
      </c>
      <c r="G17" s="4">
        <v>-45409.76505897168</v>
      </c>
      <c r="H17" s="4">
        <v>-82576.847856727982</v>
      </c>
      <c r="I17" s="4">
        <v>-45409.76505897168</v>
      </c>
    </row>
    <row r="18" spans="1:9" ht="15.75" thickBot="1" x14ac:dyDescent="0.3">
      <c r="A18" s="5" t="s">
        <v>32</v>
      </c>
      <c r="B18" s="5">
        <v>16653.552701389868</v>
      </c>
      <c r="C18" s="5">
        <v>1438.3952751433869</v>
      </c>
      <c r="D18" s="5">
        <v>11.57786944185405</v>
      </c>
      <c r="E18" s="5">
        <v>2.4093483099626338E-13</v>
      </c>
      <c r="F18" s="5">
        <v>13730.381801251169</v>
      </c>
      <c r="G18" s="5">
        <v>19576.723601528567</v>
      </c>
      <c r="H18" s="5">
        <v>13730.381801251169</v>
      </c>
      <c r="I18" s="5">
        <v>19576.723601528567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7"/>
  <sheetViews>
    <sheetView tabSelected="1" workbookViewId="0">
      <selection activeCell="J29" sqref="J29"/>
    </sheetView>
  </sheetViews>
  <sheetFormatPr defaultRowHeight="15" x14ac:dyDescent="0.25"/>
  <cols>
    <col min="1" max="1" width="9.140625" style="3"/>
    <col min="2" max="16384" width="9.140625" style="1"/>
  </cols>
  <sheetData>
    <row r="1" spans="1:19" x14ac:dyDescent="0.25">
      <c r="A1" s="3" t="s">
        <v>0</v>
      </c>
      <c r="B1" s="2" t="s">
        <v>2</v>
      </c>
      <c r="C1" s="2" t="s">
        <v>31</v>
      </c>
      <c r="D1" s="2" t="s">
        <v>32</v>
      </c>
      <c r="E1" s="2" t="s">
        <v>1</v>
      </c>
      <c r="K1" s="6"/>
      <c r="L1" s="6" t="s">
        <v>20</v>
      </c>
      <c r="M1" s="6" t="s">
        <v>8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</row>
    <row r="2" spans="1:19" x14ac:dyDescent="0.25">
      <c r="A2" s="3">
        <v>1</v>
      </c>
      <c r="B2" s="1">
        <v>601</v>
      </c>
      <c r="C2" s="1">
        <f>B2^2</f>
        <v>361201</v>
      </c>
      <c r="D2" s="1">
        <f>LN(B2)</f>
        <v>6.3985949345352076</v>
      </c>
      <c r="E2" s="1">
        <v>45623</v>
      </c>
      <c r="K2" s="4" t="s">
        <v>14</v>
      </c>
      <c r="L2" s="4">
        <v>5792.7982874527224</v>
      </c>
      <c r="M2" s="4">
        <v>4763.0584994002193</v>
      </c>
      <c r="N2" s="4">
        <v>1.216192975203259</v>
      </c>
      <c r="O2" s="4">
        <v>0.23253949983772115</v>
      </c>
      <c r="P2" s="4">
        <v>-3897.7170922231198</v>
      </c>
      <c r="Q2" s="4">
        <v>15483.313667128565</v>
      </c>
      <c r="R2" s="4">
        <v>-3897.7170922231198</v>
      </c>
      <c r="S2" s="4">
        <v>15483.313667128565</v>
      </c>
    </row>
    <row r="3" spans="1:19" x14ac:dyDescent="0.25">
      <c r="A3" s="3">
        <v>2</v>
      </c>
      <c r="B3" s="1">
        <v>738</v>
      </c>
      <c r="C3" s="1">
        <f t="shared" ref="C3:C37" si="0">B3^2</f>
        <v>544644</v>
      </c>
      <c r="D3" s="1">
        <f t="shared" ref="D3:D37" si="1">LN(B3)</f>
        <v>6.6039438246004725</v>
      </c>
      <c r="E3" s="1">
        <v>46507</v>
      </c>
      <c r="K3" s="4" t="s">
        <v>2</v>
      </c>
      <c r="L3" s="4">
        <v>98.350390786959665</v>
      </c>
      <c r="M3" s="4">
        <v>17.236900109754032</v>
      </c>
      <c r="N3" s="4">
        <v>5.7058049974603646</v>
      </c>
      <c r="O3" s="4">
        <v>2.2957089395225687E-6</v>
      </c>
      <c r="P3" s="4">
        <v>63.281653833058883</v>
      </c>
      <c r="Q3" s="4">
        <v>133.41912774086046</v>
      </c>
      <c r="R3" s="4">
        <v>63.281653833058883</v>
      </c>
      <c r="S3" s="4">
        <v>133.41912774086046</v>
      </c>
    </row>
    <row r="4" spans="1:19" ht="15.75" thickBot="1" x14ac:dyDescent="0.3">
      <c r="A4" s="3">
        <v>3</v>
      </c>
      <c r="B4" s="1">
        <v>686</v>
      </c>
      <c r="C4" s="1">
        <f t="shared" si="0"/>
        <v>470596</v>
      </c>
      <c r="D4" s="1">
        <f t="shared" si="1"/>
        <v>6.5308776277258849</v>
      </c>
      <c r="E4" s="1">
        <v>43343</v>
      </c>
      <c r="K4" s="5" t="s">
        <v>31</v>
      </c>
      <c r="L4" s="5">
        <v>-5.9972929301517049E-2</v>
      </c>
      <c r="M4" s="5">
        <v>1.5066405993972468E-2</v>
      </c>
      <c r="N4" s="5">
        <v>-3.9805730262087771</v>
      </c>
      <c r="O4" s="5">
        <v>3.5552055210880085E-4</v>
      </c>
      <c r="P4" s="5">
        <v>-9.0625762773836466E-2</v>
      </c>
      <c r="Q4" s="5">
        <v>-2.9320095829197639E-2</v>
      </c>
      <c r="R4" s="5">
        <v>-9.0625762773836466E-2</v>
      </c>
      <c r="S4" s="5">
        <v>-2.9320095829197639E-2</v>
      </c>
    </row>
    <row r="5" spans="1:19" x14ac:dyDescent="0.25">
      <c r="A5" s="3">
        <v>4</v>
      </c>
      <c r="B5" s="1">
        <v>736</v>
      </c>
      <c r="C5" s="1">
        <f t="shared" si="0"/>
        <v>541696</v>
      </c>
      <c r="D5" s="1">
        <f t="shared" si="1"/>
        <v>6.6012301187288767</v>
      </c>
      <c r="E5" s="1">
        <v>46495</v>
      </c>
    </row>
    <row r="6" spans="1:19" x14ac:dyDescent="0.25">
      <c r="A6" s="3">
        <v>5</v>
      </c>
      <c r="B6" s="1">
        <v>756</v>
      </c>
      <c r="C6" s="1">
        <f t="shared" si="0"/>
        <v>571536</v>
      </c>
      <c r="D6" s="1">
        <f t="shared" si="1"/>
        <v>6.6280413761795334</v>
      </c>
      <c r="E6" s="1">
        <v>47317</v>
      </c>
    </row>
    <row r="7" spans="1:19" x14ac:dyDescent="0.25">
      <c r="A7" s="3">
        <v>6</v>
      </c>
      <c r="B7" s="1">
        <v>498</v>
      </c>
      <c r="C7" s="1">
        <f t="shared" si="0"/>
        <v>248004</v>
      </c>
      <c r="D7" s="1">
        <f t="shared" si="1"/>
        <v>6.2106000770246528</v>
      </c>
      <c r="E7" s="1">
        <v>41172</v>
      </c>
    </row>
    <row r="8" spans="1:19" x14ac:dyDescent="0.25">
      <c r="A8" s="3">
        <v>7</v>
      </c>
      <c r="B8" s="1">
        <v>828</v>
      </c>
      <c r="C8" s="1">
        <f t="shared" si="0"/>
        <v>685584</v>
      </c>
      <c r="D8" s="1">
        <f t="shared" si="1"/>
        <v>6.7190131543852596</v>
      </c>
      <c r="E8" s="1">
        <v>43974</v>
      </c>
    </row>
    <row r="9" spans="1:19" x14ac:dyDescent="0.25">
      <c r="A9" s="3">
        <v>8</v>
      </c>
      <c r="B9" s="1">
        <v>671</v>
      </c>
      <c r="C9" s="1">
        <f t="shared" si="0"/>
        <v>450241</v>
      </c>
      <c r="D9" s="1">
        <f t="shared" si="1"/>
        <v>6.508769136971682</v>
      </c>
      <c r="E9" s="1">
        <v>44290</v>
      </c>
    </row>
    <row r="10" spans="1:19" x14ac:dyDescent="0.25">
      <c r="A10" s="3">
        <v>9</v>
      </c>
      <c r="B10" s="1">
        <v>305</v>
      </c>
      <c r="C10" s="1">
        <f t="shared" si="0"/>
        <v>93025</v>
      </c>
      <c r="D10" s="1">
        <f t="shared" si="1"/>
        <v>5.7203117766074119</v>
      </c>
      <c r="E10" s="1">
        <v>29297</v>
      </c>
    </row>
    <row r="11" spans="1:19" x14ac:dyDescent="0.25">
      <c r="A11" s="3">
        <v>10</v>
      </c>
      <c r="B11" s="1">
        <v>637</v>
      </c>
      <c r="C11" s="1">
        <f t="shared" si="0"/>
        <v>405769</v>
      </c>
      <c r="D11" s="1">
        <f t="shared" si="1"/>
        <v>6.4567696555721632</v>
      </c>
      <c r="E11" s="1">
        <v>47244</v>
      </c>
    </row>
    <row r="12" spans="1:19" x14ac:dyDescent="0.25">
      <c r="A12" s="3">
        <v>11</v>
      </c>
      <c r="B12" s="1">
        <v>499</v>
      </c>
      <c r="C12" s="1">
        <f t="shared" si="0"/>
        <v>249001</v>
      </c>
      <c r="D12" s="1">
        <f t="shared" si="1"/>
        <v>6.2126060957515188</v>
      </c>
      <c r="E12" s="1">
        <v>43185</v>
      </c>
    </row>
    <row r="13" spans="1:19" x14ac:dyDescent="0.25">
      <c r="A13" s="3">
        <v>12</v>
      </c>
      <c r="B13" s="1">
        <v>578</v>
      </c>
      <c r="C13" s="1">
        <f t="shared" si="0"/>
        <v>334084</v>
      </c>
      <c r="D13" s="1">
        <f t="shared" si="1"/>
        <v>6.3595738686723777</v>
      </c>
      <c r="E13" s="1">
        <v>42658</v>
      </c>
    </row>
    <row r="14" spans="1:19" x14ac:dyDescent="0.25">
      <c r="A14" s="3">
        <v>13</v>
      </c>
      <c r="B14" s="1">
        <v>641</v>
      </c>
      <c r="C14" s="1">
        <f t="shared" si="0"/>
        <v>410881</v>
      </c>
      <c r="D14" s="1">
        <f t="shared" si="1"/>
        <v>6.4630294569206699</v>
      </c>
      <c r="E14" s="1">
        <v>39178</v>
      </c>
    </row>
    <row r="15" spans="1:19" x14ac:dyDescent="0.25">
      <c r="A15" s="3">
        <v>14</v>
      </c>
      <c r="B15" s="1">
        <v>452</v>
      </c>
      <c r="C15" s="1">
        <f t="shared" si="0"/>
        <v>204304</v>
      </c>
      <c r="D15" s="1">
        <f t="shared" si="1"/>
        <v>6.1136821798322316</v>
      </c>
      <c r="E15" s="1">
        <v>41198</v>
      </c>
    </row>
    <row r="16" spans="1:19" x14ac:dyDescent="0.25">
      <c r="A16" s="3">
        <v>15</v>
      </c>
      <c r="B16" s="1">
        <v>674</v>
      </c>
      <c r="C16" s="1">
        <f t="shared" si="0"/>
        <v>454276</v>
      </c>
      <c r="D16" s="1">
        <f t="shared" si="1"/>
        <v>6.513230110912307</v>
      </c>
      <c r="E16" s="1">
        <v>43505</v>
      </c>
    </row>
    <row r="17" spans="1:10" x14ac:dyDescent="0.25">
      <c r="A17" s="3">
        <v>16</v>
      </c>
      <c r="B17" s="1">
        <v>475</v>
      </c>
      <c r="C17" s="1">
        <f t="shared" si="0"/>
        <v>225625</v>
      </c>
      <c r="D17" s="1">
        <f t="shared" si="1"/>
        <v>6.1633148040346413</v>
      </c>
      <c r="E17" s="1">
        <v>35805</v>
      </c>
    </row>
    <row r="18" spans="1:10" x14ac:dyDescent="0.25">
      <c r="A18" s="3">
        <v>17</v>
      </c>
      <c r="B18" s="1">
        <v>536</v>
      </c>
      <c r="C18" s="1">
        <f t="shared" si="0"/>
        <v>287296</v>
      </c>
      <c r="D18" s="1">
        <f t="shared" si="1"/>
        <v>6.2841341610708019</v>
      </c>
      <c r="E18" s="1">
        <v>39181</v>
      </c>
    </row>
    <row r="19" spans="1:10" x14ac:dyDescent="0.25">
      <c r="A19" s="3">
        <v>18</v>
      </c>
      <c r="B19" s="1">
        <v>527</v>
      </c>
      <c r="C19" s="1">
        <f t="shared" si="0"/>
        <v>277729</v>
      </c>
      <c r="D19" s="1">
        <f t="shared" si="1"/>
        <v>6.2672005485413624</v>
      </c>
      <c r="E19" s="1">
        <v>40248</v>
      </c>
    </row>
    <row r="20" spans="1:10" x14ac:dyDescent="0.25">
      <c r="A20" s="3">
        <v>19</v>
      </c>
      <c r="B20" s="1">
        <v>275</v>
      </c>
      <c r="C20" s="1">
        <f t="shared" si="0"/>
        <v>75625</v>
      </c>
      <c r="D20" s="1">
        <f t="shared" si="1"/>
        <v>5.6167710976665717</v>
      </c>
      <c r="E20" s="1">
        <v>28157</v>
      </c>
    </row>
    <row r="21" spans="1:10" x14ac:dyDescent="0.25">
      <c r="A21" s="3">
        <v>20</v>
      </c>
      <c r="B21" s="1">
        <v>495</v>
      </c>
      <c r="C21" s="1">
        <f t="shared" si="0"/>
        <v>245025</v>
      </c>
      <c r="D21" s="1">
        <f t="shared" si="1"/>
        <v>6.2045577625686903</v>
      </c>
      <c r="E21" s="1">
        <v>34761</v>
      </c>
    </row>
    <row r="22" spans="1:10" x14ac:dyDescent="0.25">
      <c r="A22" s="3">
        <v>21</v>
      </c>
      <c r="B22" s="1">
        <v>568</v>
      </c>
      <c r="C22" s="1">
        <f t="shared" si="0"/>
        <v>322624</v>
      </c>
      <c r="D22" s="1">
        <f t="shared" si="1"/>
        <v>6.3421214187211516</v>
      </c>
      <c r="E22" s="1">
        <v>45148</v>
      </c>
    </row>
    <row r="23" spans="1:10" x14ac:dyDescent="0.25">
      <c r="A23" s="3">
        <v>22</v>
      </c>
      <c r="B23" s="1">
        <v>418</v>
      </c>
      <c r="C23" s="1">
        <f t="shared" si="0"/>
        <v>174724</v>
      </c>
      <c r="D23" s="1">
        <f t="shared" si="1"/>
        <v>6.0354814325247563</v>
      </c>
      <c r="E23" s="1">
        <v>33447</v>
      </c>
      <c r="J23" s="1">
        <v>700</v>
      </c>
    </row>
    <row r="24" spans="1:10" x14ac:dyDescent="0.25">
      <c r="A24" s="3">
        <v>23</v>
      </c>
      <c r="B24" s="1">
        <v>694</v>
      </c>
      <c r="C24" s="1">
        <f t="shared" si="0"/>
        <v>481636</v>
      </c>
      <c r="D24" s="1">
        <f t="shared" si="1"/>
        <v>6.5424719605068047</v>
      </c>
      <c r="E24" s="1">
        <v>45686</v>
      </c>
      <c r="J24" s="1">
        <v>800</v>
      </c>
    </row>
    <row r="25" spans="1:10" x14ac:dyDescent="0.25">
      <c r="A25" s="3">
        <v>24</v>
      </c>
      <c r="B25" s="1">
        <v>653</v>
      </c>
      <c r="C25" s="1">
        <f t="shared" si="0"/>
        <v>426409</v>
      </c>
      <c r="D25" s="1">
        <f t="shared" si="1"/>
        <v>6.481577129276431</v>
      </c>
      <c r="E25" s="1">
        <v>45296</v>
      </c>
    </row>
    <row r="26" spans="1:10" x14ac:dyDescent="0.25">
      <c r="A26" s="3">
        <v>25</v>
      </c>
      <c r="B26" s="1">
        <v>471</v>
      </c>
      <c r="C26" s="1">
        <f t="shared" si="0"/>
        <v>221841</v>
      </c>
      <c r="D26" s="1">
        <f t="shared" si="1"/>
        <v>6.1548580940164177</v>
      </c>
      <c r="E26" s="1">
        <v>37179</v>
      </c>
      <c r="J26" s="1">
        <f>(J24-J23)/J23*100</f>
        <v>14.285714285714285</v>
      </c>
    </row>
    <row r="27" spans="1:10" x14ac:dyDescent="0.25">
      <c r="A27" s="3">
        <v>26</v>
      </c>
      <c r="B27" s="1">
        <v>669</v>
      </c>
      <c r="C27" s="1">
        <f t="shared" si="0"/>
        <v>447561</v>
      </c>
      <c r="D27" s="1">
        <f t="shared" si="1"/>
        <v>6.5057840601282289</v>
      </c>
      <c r="E27" s="1">
        <v>41199</v>
      </c>
    </row>
    <row r="28" spans="1:10" x14ac:dyDescent="0.25">
      <c r="A28" s="3">
        <v>27</v>
      </c>
      <c r="B28" s="1">
        <v>298</v>
      </c>
      <c r="C28" s="1">
        <f t="shared" si="0"/>
        <v>88804</v>
      </c>
      <c r="D28" s="1">
        <f t="shared" si="1"/>
        <v>5.6970934865054046</v>
      </c>
      <c r="E28" s="1">
        <v>31259</v>
      </c>
      <c r="J28" s="1">
        <f>(LN(J24)-LN(J23))*100</f>
        <v>13.353139262452274</v>
      </c>
    </row>
    <row r="29" spans="1:10" x14ac:dyDescent="0.25">
      <c r="A29" s="3">
        <v>28</v>
      </c>
      <c r="B29" s="1">
        <v>399</v>
      </c>
      <c r="C29" s="1">
        <f t="shared" si="0"/>
        <v>159201</v>
      </c>
      <c r="D29" s="1">
        <f t="shared" si="1"/>
        <v>5.9889614168898637</v>
      </c>
      <c r="E29" s="1">
        <v>37705</v>
      </c>
    </row>
    <row r="30" spans="1:10" x14ac:dyDescent="0.25">
      <c r="A30" s="3">
        <v>29</v>
      </c>
      <c r="B30" s="1">
        <v>549</v>
      </c>
      <c r="C30" s="1">
        <f t="shared" si="0"/>
        <v>301401</v>
      </c>
      <c r="D30" s="1">
        <f t="shared" si="1"/>
        <v>6.3080984415095305</v>
      </c>
      <c r="E30" s="1">
        <v>42757</v>
      </c>
    </row>
    <row r="31" spans="1:10" x14ac:dyDescent="0.25">
      <c r="A31" s="3">
        <v>30</v>
      </c>
      <c r="B31" s="1">
        <v>863</v>
      </c>
      <c r="C31" s="1">
        <f t="shared" si="0"/>
        <v>744769</v>
      </c>
      <c r="D31" s="1">
        <f t="shared" si="1"/>
        <v>6.7604146910834277</v>
      </c>
      <c r="E31" s="1">
        <v>47332</v>
      </c>
    </row>
    <row r="32" spans="1:10" x14ac:dyDescent="0.25">
      <c r="A32" s="3">
        <v>31</v>
      </c>
      <c r="B32" s="1">
        <v>764</v>
      </c>
      <c r="C32" s="1">
        <f t="shared" si="0"/>
        <v>583696</v>
      </c>
      <c r="D32" s="1">
        <f t="shared" si="1"/>
        <v>6.6385677891665207</v>
      </c>
      <c r="E32" s="1">
        <v>44914</v>
      </c>
    </row>
    <row r="33" spans="1:5" x14ac:dyDescent="0.25">
      <c r="A33" s="3">
        <v>32</v>
      </c>
      <c r="B33" s="1">
        <v>800</v>
      </c>
      <c r="C33" s="1">
        <f t="shared" si="0"/>
        <v>640000</v>
      </c>
      <c r="D33" s="1">
        <f t="shared" si="1"/>
        <v>6.6846117276679271</v>
      </c>
      <c r="E33" s="1">
        <v>46105</v>
      </c>
    </row>
    <row r="34" spans="1:5" x14ac:dyDescent="0.25">
      <c r="A34" s="3">
        <v>33</v>
      </c>
      <c r="B34" s="1">
        <v>609</v>
      </c>
      <c r="C34" s="1">
        <f t="shared" si="0"/>
        <v>370881</v>
      </c>
      <c r="D34" s="1">
        <f t="shared" si="1"/>
        <v>6.4118182677098972</v>
      </c>
      <c r="E34" s="1">
        <v>45972</v>
      </c>
    </row>
    <row r="35" spans="1:5" x14ac:dyDescent="0.25">
      <c r="A35" s="3">
        <v>34</v>
      </c>
      <c r="B35" s="1">
        <v>667</v>
      </c>
      <c r="C35" s="1">
        <f t="shared" si="0"/>
        <v>444889</v>
      </c>
      <c r="D35" s="1">
        <f t="shared" si="1"/>
        <v>6.5027900459156234</v>
      </c>
      <c r="E35" s="1">
        <v>46295</v>
      </c>
    </row>
    <row r="36" spans="1:5" x14ac:dyDescent="0.25">
      <c r="A36" s="3">
        <v>35</v>
      </c>
      <c r="B36" s="1">
        <v>705</v>
      </c>
      <c r="C36" s="1">
        <f t="shared" si="0"/>
        <v>497025</v>
      </c>
      <c r="D36" s="1">
        <f t="shared" si="1"/>
        <v>6.5581978028122689</v>
      </c>
      <c r="E36" s="1">
        <v>45218</v>
      </c>
    </row>
    <row r="37" spans="1:5" x14ac:dyDescent="0.25">
      <c r="A37" s="3">
        <v>36</v>
      </c>
      <c r="B37" s="1">
        <v>637</v>
      </c>
      <c r="C37" s="1">
        <f t="shared" si="0"/>
        <v>405769</v>
      </c>
      <c r="D37" s="1">
        <f t="shared" si="1"/>
        <v>6.4567696555721632</v>
      </c>
      <c r="E37" s="1">
        <v>45357</v>
      </c>
    </row>
  </sheetData>
  <printOptions headings="1" gridLines="1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</vt:lpstr>
      <vt:lpstr>Sheet1</vt:lpstr>
      <vt:lpstr>Sheet2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Didn't change for DADM 5e</dc:description>
  <cp:lastModifiedBy>Lamar University</cp:lastModifiedBy>
  <dcterms:created xsi:type="dcterms:W3CDTF">2007-05-15T17:00:07Z</dcterms:created>
  <dcterms:modified xsi:type="dcterms:W3CDTF">2018-11-09T02:08:16Z</dcterms:modified>
</cp:coreProperties>
</file>