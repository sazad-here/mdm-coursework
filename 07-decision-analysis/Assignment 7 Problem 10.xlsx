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MDM\Assignment 7\"/>
    </mc:Choice>
  </mc:AlternateContent>
  <xr:revisionPtr revIDLastSave="0" documentId="13_ncr:1_{57A79116-37C2-4F50-8BAB-511EE8AD0737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Problem 9" sheetId="3" r:id="rId1"/>
    <sheet name="P10. a,b,d,e, " sheetId="1" r:id="rId2"/>
    <sheet name="c) Tree diagram" sheetId="2" r:id="rId3"/>
    <sheet name="Problem 11" sheetId="4" r:id="rId4"/>
  </sheets>
  <calcPr calcId="191029" iterateDelta="9.9999999999999995E-7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4" l="1"/>
  <c r="B25" i="4"/>
  <c r="E23" i="4"/>
  <c r="D23" i="4"/>
  <c r="C23" i="4"/>
  <c r="B23" i="4"/>
  <c r="E22" i="4"/>
  <c r="D22" i="4"/>
  <c r="C22" i="4"/>
  <c r="B22" i="4"/>
  <c r="E21" i="4"/>
  <c r="D21" i="4"/>
  <c r="C21" i="4"/>
  <c r="B21" i="4"/>
  <c r="D17" i="4"/>
  <c r="C17" i="4"/>
  <c r="B17" i="4"/>
  <c r="D16" i="4"/>
  <c r="C16" i="4"/>
  <c r="B16" i="4"/>
  <c r="D15" i="4"/>
  <c r="C15" i="4"/>
  <c r="B15" i="4"/>
  <c r="D11" i="4"/>
  <c r="C11" i="4"/>
  <c r="B11" i="4"/>
  <c r="D10" i="4"/>
  <c r="C10" i="4"/>
  <c r="B10" i="4"/>
  <c r="D9" i="4"/>
  <c r="C9" i="4"/>
  <c r="B9" i="4"/>
  <c r="D8" i="4"/>
  <c r="C8" i="4"/>
  <c r="B8" i="4"/>
  <c r="B58" i="3"/>
  <c r="B57" i="3"/>
  <c r="E55" i="3"/>
  <c r="D55" i="3"/>
  <c r="C55" i="3"/>
  <c r="B55" i="3"/>
  <c r="E54" i="3"/>
  <c r="D54" i="3"/>
  <c r="C54" i="3"/>
  <c r="B54" i="3"/>
  <c r="E53" i="3"/>
  <c r="D53" i="3"/>
  <c r="C53" i="3"/>
  <c r="B53" i="3"/>
  <c r="B48" i="3"/>
  <c r="B47" i="3"/>
  <c r="E45" i="3"/>
  <c r="D45" i="3"/>
  <c r="C45" i="3"/>
  <c r="B45" i="3"/>
  <c r="E44" i="3"/>
  <c r="D44" i="3"/>
  <c r="C44" i="3"/>
  <c r="B44" i="3"/>
  <c r="E43" i="3"/>
  <c r="D43" i="3"/>
  <c r="C43" i="3"/>
  <c r="B43" i="3"/>
  <c r="B39" i="3"/>
  <c r="B38" i="3"/>
  <c r="E36" i="3"/>
  <c r="D36" i="3"/>
  <c r="C36" i="3"/>
  <c r="B36" i="3"/>
  <c r="E35" i="3"/>
  <c r="D35" i="3"/>
  <c r="C35" i="3"/>
  <c r="B35" i="3"/>
  <c r="E34" i="3"/>
  <c r="D34" i="3"/>
  <c r="C34" i="3"/>
  <c r="B34" i="3"/>
  <c r="B30" i="3"/>
  <c r="B29" i="3"/>
  <c r="E27" i="3"/>
  <c r="D27" i="3"/>
  <c r="C27" i="3"/>
  <c r="B27" i="3"/>
  <c r="E26" i="3"/>
  <c r="D26" i="3"/>
  <c r="C26" i="3"/>
  <c r="B26" i="3"/>
  <c r="E25" i="3"/>
  <c r="D25" i="3"/>
  <c r="C25" i="3"/>
  <c r="B25" i="3"/>
  <c r="D21" i="3"/>
  <c r="C21" i="3"/>
  <c r="B21" i="3"/>
  <c r="B18" i="3"/>
  <c r="B17" i="3"/>
  <c r="E15" i="3"/>
  <c r="D15" i="3"/>
  <c r="C15" i="3"/>
  <c r="B15" i="3"/>
  <c r="E14" i="3"/>
  <c r="D14" i="3"/>
  <c r="C14" i="3"/>
  <c r="B14" i="3"/>
  <c r="E13" i="3"/>
  <c r="D13" i="3"/>
  <c r="C13" i="3"/>
  <c r="B13" i="3"/>
  <c r="B42" i="1"/>
  <c r="B40" i="1"/>
  <c r="B39" i="1"/>
  <c r="B35" i="1"/>
  <c r="D33" i="1"/>
  <c r="D32" i="1"/>
  <c r="D31" i="1"/>
  <c r="C33" i="1" a="1"/>
  <c r="C33" i="1" s="1"/>
  <c r="C32" i="1" a="1"/>
  <c r="C32" i="1" s="1"/>
  <c r="C31" i="1" a="1"/>
  <c r="C31" i="1" s="1"/>
  <c r="B33" i="1"/>
  <c r="B32" i="1"/>
  <c r="B31" i="1"/>
  <c r="B25" i="1"/>
  <c r="B24" i="1"/>
  <c r="E21" i="1"/>
  <c r="E20" i="1"/>
  <c r="E19" i="1"/>
  <c r="D22" i="1"/>
  <c r="C22" i="1"/>
  <c r="B22" i="1"/>
  <c r="E7" i="1"/>
  <c r="D7" i="1"/>
  <c r="C7" i="1"/>
  <c r="B7" i="1"/>
  <c r="E14" i="1"/>
  <c r="E13" i="1"/>
  <c r="E12" i="1"/>
  <c r="E6" i="1"/>
  <c r="E5" i="1"/>
  <c r="E4" i="1"/>
  <c r="P131" i="2"/>
  <c r="P126" i="2"/>
  <c r="P121" i="2"/>
  <c r="P116" i="2"/>
  <c r="P111" i="2"/>
  <c r="P106" i="2"/>
  <c r="P101" i="2"/>
  <c r="P96" i="2"/>
  <c r="P91" i="2"/>
  <c r="P86" i="2"/>
  <c r="P81" i="2"/>
  <c r="P76" i="2"/>
  <c r="P71" i="2"/>
  <c r="P66" i="2"/>
  <c r="P61" i="2"/>
  <c r="P56" i="2"/>
  <c r="P51" i="2"/>
  <c r="P46" i="2"/>
  <c r="P41" i="2"/>
  <c r="P36" i="2"/>
  <c r="P31" i="2"/>
  <c r="P26" i="2"/>
  <c r="P21" i="2"/>
  <c r="P16" i="2"/>
  <c r="P11" i="2"/>
  <c r="P6" i="2"/>
  <c r="P1" i="2"/>
  <c r="M9" i="2" s="1"/>
  <c r="H111" i="2"/>
  <c r="H66" i="2"/>
  <c r="H21" i="2"/>
  <c r="D14" i="1"/>
  <c r="C14" i="1"/>
  <c r="B14" i="1"/>
  <c r="D13" i="1"/>
  <c r="C13" i="1"/>
  <c r="B13" i="1"/>
  <c r="D12" i="1"/>
  <c r="C12" i="1"/>
  <c r="B12" i="1"/>
  <c r="S3" i="2"/>
  <c r="Q4" i="2" s="1"/>
  <c r="S8" i="2"/>
  <c r="Q9" i="2" s="1"/>
  <c r="S13" i="2"/>
  <c r="Q14" i="2" s="1"/>
  <c r="S18" i="2"/>
  <c r="Q19" i="2" s="1"/>
  <c r="S23" i="2"/>
  <c r="Q24" i="2" s="1"/>
  <c r="S28" i="2"/>
  <c r="Q29" i="2"/>
  <c r="M24" i="2" s="1"/>
  <c r="S33" i="2"/>
  <c r="Q34" i="2" s="1"/>
  <c r="S38" i="2"/>
  <c r="Q39" i="2" s="1"/>
  <c r="M39" i="2"/>
  <c r="S43" i="2"/>
  <c r="Q44" i="2" s="1"/>
  <c r="S48" i="2"/>
  <c r="Q49" i="2" s="1"/>
  <c r="S53" i="2"/>
  <c r="Q54" i="2" s="1"/>
  <c r="S58" i="2"/>
  <c r="Q59" i="2" s="1"/>
  <c r="S63" i="2"/>
  <c r="Q64" i="2" s="1"/>
  <c r="S68" i="2"/>
  <c r="Q69" i="2"/>
  <c r="S73" i="2"/>
  <c r="Q74" i="2" s="1"/>
  <c r="M69" i="2" s="1"/>
  <c r="S78" i="2"/>
  <c r="Q79" i="2"/>
  <c r="S83" i="2"/>
  <c r="Q84" i="2" s="1"/>
  <c r="S88" i="2"/>
  <c r="Q89" i="2" s="1"/>
  <c r="S93" i="2"/>
  <c r="Q94" i="2" s="1"/>
  <c r="S98" i="2"/>
  <c r="Q99" i="2" s="1"/>
  <c r="S103" i="2"/>
  <c r="Q104" i="2" s="1"/>
  <c r="S108" i="2"/>
  <c r="Q109" i="2" s="1"/>
  <c r="S113" i="2"/>
  <c r="Q114" i="2" s="1"/>
  <c r="S118" i="2"/>
  <c r="Q119" i="2" s="1"/>
  <c r="S123" i="2"/>
  <c r="Q124" i="2" s="1"/>
  <c r="S128" i="2"/>
  <c r="Q129" i="2" s="1"/>
  <c r="S133" i="2"/>
  <c r="Q134" i="2"/>
  <c r="M114" i="2" l="1"/>
  <c r="M99" i="2"/>
  <c r="M84" i="2"/>
  <c r="M54" i="2"/>
  <c r="M129" i="2"/>
  <c r="I24" i="2"/>
  <c r="J23" i="2" s="1"/>
  <c r="I114" i="2" l="1"/>
  <c r="J113" i="2" s="1"/>
  <c r="I69" i="2"/>
  <c r="J68" i="2" s="1"/>
  <c r="E69" i="2"/>
  <c r="A69" i="2" s="1"/>
  <c r="B6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<sst xmlns="http://schemas.openxmlformats.org/spreadsheetml/2006/main" count="206" uniqueCount="86">
  <si>
    <t>Actual Demand</t>
  </si>
  <si>
    <t>Forecasted Demand</t>
  </si>
  <si>
    <t>Low</t>
  </si>
  <si>
    <t>Medium</t>
  </si>
  <si>
    <t>High</t>
  </si>
  <si>
    <t xml:space="preserve">Conditional Probabilities For </t>
  </si>
  <si>
    <t>Given Forecasted Demands</t>
  </si>
  <si>
    <t>Low Demand Occurs</t>
  </si>
  <si>
    <t>Conditional Probabilities from part a.</t>
  </si>
  <si>
    <t>Probabilities of Low, Medium and High Forecasts can be ontained from Joint Probabilities table</t>
  </si>
  <si>
    <t>Payoffs from matrix on problem 9</t>
  </si>
  <si>
    <t>Build Small Development</t>
  </si>
  <si>
    <t>Med. Demand Occurs</t>
  </si>
  <si>
    <t>High Demand Occurs</t>
  </si>
  <si>
    <t>Low Demand Forecast</t>
  </si>
  <si>
    <t>Build Med. Development</t>
  </si>
  <si>
    <t>Build Large Development</t>
  </si>
  <si>
    <t>Hire Consultant</t>
  </si>
  <si>
    <t>Med. Demand Forecast</t>
  </si>
  <si>
    <t>High Demand Forecast</t>
  </si>
  <si>
    <t>Problem 9 – Morley Properties Decision Analysis</t>
  </si>
  <si>
    <t>Payoff Matrix ($1000s)</t>
  </si>
  <si>
    <t>Size of Development</t>
  </si>
  <si>
    <t>Small</t>
  </si>
  <si>
    <t>Large</t>
  </si>
  <si>
    <t>Probabilities</t>
  </si>
  <si>
    <t>Row Max</t>
  </si>
  <si>
    <t>Decision:</t>
  </si>
  <si>
    <t>(Max of Row Maxima)</t>
  </si>
  <si>
    <t>Maximax Value:</t>
  </si>
  <si>
    <t>Row Min</t>
  </si>
  <si>
    <t>(Max of Row Minima)</t>
  </si>
  <si>
    <t>Maximin Value:</t>
  </si>
  <si>
    <t>Best Payoff per State:</t>
  </si>
  <si>
    <t>Regret Matrix ($1000s)</t>
  </si>
  <si>
    <t>(Min of Max Regrets)</t>
  </si>
  <si>
    <t>Minimax Regret Value:</t>
  </si>
  <si>
    <t>d) Expected Monetary Value (EMV) Decision Rule</t>
  </si>
  <si>
    <t>EMV</t>
  </si>
  <si>
    <t>(Max EMV)</t>
  </si>
  <si>
    <t>EMV Value:</t>
  </si>
  <si>
    <t>e) Expected Opportunity Loss (EOL) Decision Rule</t>
  </si>
  <si>
    <t>Regret (Opportunity Loss) Matrix</t>
  </si>
  <si>
    <t>EOL</t>
  </si>
  <si>
    <t>(Min EOL)</t>
  </si>
  <si>
    <t>EOL Value:</t>
  </si>
  <si>
    <t>Optimal Decision:</t>
  </si>
  <si>
    <t>Maximum EMV:</t>
  </si>
  <si>
    <t>EMV with consultant:</t>
  </si>
  <si>
    <t>Sum Check</t>
  </si>
  <si>
    <t>P(Forecast)</t>
  </si>
  <si>
    <t>b) EMV of the optimal decision without the consultant's assistance</t>
  </si>
  <si>
    <t>Market Demand</t>
  </si>
  <si>
    <t>(Payoffs in $1,000s)</t>
  </si>
  <si>
    <t>d) EMV of the optimal decision with the consultant's free assistance</t>
  </si>
  <si>
    <t>Forecast</t>
  </si>
  <si>
    <t>Optimal Decision</t>
  </si>
  <si>
    <t>EMV Given Forecast</t>
  </si>
  <si>
    <t>= 0.20×400 + 0.35×470 + 0.45×690</t>
  </si>
  <si>
    <t>EMV with consultant (from d):</t>
  </si>
  <si>
    <t>EMV without consultant (from b):</t>
  </si>
  <si>
    <t>EVSI (Expected Value of Sample Information):</t>
  </si>
  <si>
    <t>Morley Properties should pay at most $120.25 thousand ($120,250) for the consultant.</t>
  </si>
  <si>
    <t>P(Actual)</t>
  </si>
  <si>
    <t>a) Maximin Decision Rule</t>
  </si>
  <si>
    <t>b) Minimax Regret Decision Rule</t>
  </si>
  <si>
    <t>Max Regret</t>
  </si>
  <si>
    <t>c) Maximax Decision Rule</t>
  </si>
  <si>
    <t>U(x) = 1 − e^(−x/R)</t>
  </si>
  <si>
    <t>Original Payoff Matrix ($1,000s)</t>
  </si>
  <si>
    <t>a) Utility Payoff Matrix   [U(x) = 1 − e^(−x/R),  R = 100]</t>
  </si>
  <si>
    <t>b) Expected Utility (EU) Decision</t>
  </si>
  <si>
    <t>EU</t>
  </si>
  <si>
    <t>(Max Expected Utility)</t>
  </si>
  <si>
    <t>Maximum EU:</t>
  </si>
  <si>
    <t>Interpretation:</t>
  </si>
  <si>
    <t>Unlike EMV (which chose Medium), utility analysis chooses Small because</t>
  </si>
  <si>
    <t>the owner is highly risk-averse. The catastrophic loss of $400K from Large</t>
  </si>
  <si>
    <t>yields U(−400) = −53.60, which heavily penalizes that alternative.</t>
  </si>
  <si>
    <t>Small guarantees U = 0.9817 regardless of demand — the safest outcome.</t>
  </si>
  <si>
    <t>Problem 11 – Refer to Question 9. Morley Properties Utility Analysis</t>
  </si>
  <si>
    <t>Utility Function (exponential):</t>
  </si>
  <si>
    <t>Risk Tolerance R =</t>
  </si>
  <si>
    <t>(in $1,000s)  →  so payoffs are already in $1,000s</t>
  </si>
  <si>
    <t xml:space="preserve">                   e) Maximum price Morley Properties should be willing to pay the consultant</t>
  </si>
  <si>
    <t xml:space="preserve">a) Construct the conditional probability table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</si>
</sst>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"/>
  </numFmts>
  <fonts count="26" x14ac:knownFonts="1">
    <font>
      <sz val="11"/>
      <color theme="1"/>
      <name val="Calibri"/>
      <family val="2"/>
      <scheme val="minor"/>
    </font>
    <font>
      <sz val="10"/>
      <color indexed="10"/>
      <name val="Arial"/>
      <family val="2"/>
    </font>
    <font>
      <b/>
      <sz val="12"/>
      <color indexed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rgb="FF808080"/>
      <name val="Calibri"/>
      <family val="2"/>
      <scheme val="minor"/>
    </font>
    <font>
      <b/>
      <sz val="11"/>
      <color rgb="FF80808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rgb="FFFF0000"/>
      <name val="Arial"/>
      <family val="2"/>
    </font>
    <font>
      <b/>
      <i/>
      <sz val="9"/>
      <color rgb="FF808080"/>
      <name val="Arial"/>
      <family val="2"/>
    </font>
    <font>
      <i/>
      <sz val="9"/>
      <color rgb="FF808080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  <scheme val="minor"/>
    </font>
    <font>
      <b/>
      <sz val="12"/>
      <color rgb="FFCC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0" fillId="2" borderId="0" xfId="0" applyFill="1"/>
    <xf numFmtId="0" fontId="4" fillId="0" borderId="0" xfId="0" applyFont="1"/>
    <xf numFmtId="0" fontId="0" fillId="3" borderId="0" xfId="0" applyFill="1"/>
    <xf numFmtId="0" fontId="0" fillId="4" borderId="0" xfId="0" applyFill="1"/>
    <xf numFmtId="0" fontId="6" fillId="0" borderId="0" xfId="0" applyFont="1"/>
    <xf numFmtId="0" fontId="7" fillId="0" borderId="0" xfId="0" applyFont="1"/>
    <xf numFmtId="0" fontId="5" fillId="0" borderId="0" xfId="0" applyFont="1"/>
    <xf numFmtId="10" fontId="0" fillId="0" borderId="0" xfId="0" applyNumberFormat="1" applyAlignment="1">
      <alignment horizontal="center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9" fillId="0" borderId="0" xfId="0" applyFont="1" applyAlignment="1">
      <alignment horizontal="center"/>
    </xf>
    <xf numFmtId="0" fontId="5" fillId="5" borderId="3" xfId="0" applyFont="1" applyFill="1" applyBorder="1"/>
    <xf numFmtId="0" fontId="5" fillId="5" borderId="3" xfId="0" applyFont="1" applyFill="1" applyBorder="1" applyAlignment="1">
      <alignment horizontal="center"/>
    </xf>
    <xf numFmtId="0" fontId="5" fillId="0" borderId="3" xfId="0" applyFont="1" applyBorder="1"/>
    <xf numFmtId="0" fontId="0" fillId="0" borderId="3" xfId="0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2" fillId="0" borderId="0" xfId="0" applyFont="1"/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0" fillId="0" borderId="0" xfId="0" applyFont="1"/>
    <xf numFmtId="0" fontId="22" fillId="0" borderId="0" xfId="0" quotePrefix="1" applyFont="1"/>
    <xf numFmtId="2" fontId="11" fillId="0" borderId="0" xfId="0" applyNumberFormat="1" applyFont="1" applyAlignment="1">
      <alignment horizontal="right"/>
    </xf>
    <xf numFmtId="0" fontId="23" fillId="0" borderId="0" xfId="0" applyFont="1"/>
    <xf numFmtId="0" fontId="3" fillId="0" borderId="3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16" fillId="0" borderId="3" xfId="0" applyNumberFormat="1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164" fontId="18" fillId="0" borderId="3" xfId="0" applyNumberFormat="1" applyFont="1" applyBorder="1" applyAlignment="1">
      <alignment horizontal="center"/>
    </xf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15" fillId="0" borderId="3" xfId="0" applyFont="1" applyBorder="1" applyAlignment="1">
      <alignment horizontal="center"/>
    </xf>
    <xf numFmtId="2" fontId="5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2" fontId="5" fillId="3" borderId="3" xfId="0" applyNumberFormat="1" applyFont="1" applyFill="1" applyBorder="1" applyAlignment="1">
      <alignment horizontal="center"/>
    </xf>
    <xf numFmtId="2" fontId="12" fillId="3" borderId="0" xfId="0" applyNumberFormat="1" applyFont="1" applyFill="1"/>
    <xf numFmtId="2" fontId="8" fillId="3" borderId="0" xfId="0" applyNumberFormat="1" applyFont="1" applyFill="1"/>
    <xf numFmtId="0" fontId="20" fillId="0" borderId="0" xfId="0" applyFont="1" applyAlignment="1">
      <alignment horizontal="left"/>
    </xf>
    <xf numFmtId="0" fontId="5" fillId="5" borderId="4" xfId="0" applyFont="1" applyFill="1" applyBorder="1"/>
    <xf numFmtId="0" fontId="5" fillId="5" borderId="4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7" fillId="0" borderId="2" xfId="0" applyFont="1" applyBorder="1"/>
    <xf numFmtId="0" fontId="5" fillId="0" borderId="5" xfId="0" applyFont="1" applyBorder="1"/>
    <xf numFmtId="0" fontId="0" fillId="0" borderId="5" xfId="0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24" fillId="0" borderId="0" xfId="0" applyFont="1"/>
    <xf numFmtId="165" fontId="0" fillId="0" borderId="3" xfId="0" applyNumberFormat="1" applyBorder="1" applyAlignment="1">
      <alignment horizontal="center"/>
    </xf>
    <xf numFmtId="165" fontId="5" fillId="0" borderId="3" xfId="0" applyNumberFormat="1" applyFont="1" applyBorder="1" applyAlignment="1">
      <alignment horizontal="center"/>
    </xf>
    <xf numFmtId="0" fontId="13" fillId="0" borderId="2" xfId="0" applyFont="1" applyBorder="1"/>
    <xf numFmtId="165" fontId="0" fillId="0" borderId="5" xfId="0" applyNumberFormat="1" applyBorder="1" applyAlignment="1">
      <alignment horizontal="center"/>
    </xf>
    <xf numFmtId="165" fontId="5" fillId="0" borderId="5" xfId="0" applyNumberFormat="1" applyFont="1" applyBorder="1" applyAlignment="1">
      <alignment horizontal="center"/>
    </xf>
    <xf numFmtId="0" fontId="8" fillId="3" borderId="0" xfId="0" applyFont="1" applyFill="1"/>
    <xf numFmtId="165" fontId="8" fillId="3" borderId="0" xfId="0" applyNumberFormat="1" applyFont="1" applyFill="1"/>
    <xf numFmtId="0" fontId="25" fillId="0" borderId="0" xfId="0" applyFont="1"/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0</xdr:colOff>
      <xdr:row>68</xdr:row>
      <xdr:rowOff>0</xdr:rowOff>
    </xdr:to>
    <xdr:sp macro="" textlink="">
      <xdr:nvSpPr>
        <xdr:cNvPr id="2" name="Solver_shape$B$68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 bwMode="auto">
        <a:xfrm>
          <a:off x="609600" y="12268200"/>
          <a:ext cx="152400" cy="152400"/>
        </a:xfrm>
        <a:prstGeom prst="flowChartProcess">
          <a:avLst/>
        </a:prstGeom>
        <a:noFill/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>
                  <a:alpha val="0"/>
                </a:srgbClr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67</xdr:row>
      <xdr:rowOff>76200</xdr:rowOff>
    </xdr:from>
    <xdr:to>
      <xdr:col>1</xdr:col>
      <xdr:colOff>0</xdr:colOff>
      <xdr:row>67</xdr:row>
      <xdr:rowOff>76200</xdr:rowOff>
    </xdr:to>
    <xdr:cxnSp macro="">
      <xdr:nvCxnSpPr>
        <xdr:cNvPr id="3" name="Solver_line$B$68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 bwMode="auto">
        <a:xfrm>
          <a:off x="0" y="12344400"/>
          <a:ext cx="60960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0</xdr:colOff>
      <xdr:row>67</xdr:row>
      <xdr:rowOff>76200</xdr:rowOff>
    </xdr:from>
    <xdr:to>
      <xdr:col>3</xdr:col>
      <xdr:colOff>0</xdr:colOff>
      <xdr:row>67</xdr:row>
      <xdr:rowOff>76200</xdr:rowOff>
    </xdr:to>
    <xdr:cxnSp macro="">
      <xdr:nvCxnSpPr>
        <xdr:cNvPr id="4" name="Solver_shapecon$F$68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 bwMode="auto">
        <a:xfrm>
          <a:off x="762000" y="12344400"/>
          <a:ext cx="24765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 editAs="oneCell">
    <xdr:from>
      <xdr:col>5</xdr:col>
      <xdr:colOff>0</xdr:colOff>
      <xdr:row>67</xdr:row>
      <xdr:rowOff>0</xdr:rowOff>
    </xdr:from>
    <xdr:to>
      <xdr:col>6</xdr:col>
      <xdr:colOff>0</xdr:colOff>
      <xdr:row>68</xdr:row>
      <xdr:rowOff>0</xdr:rowOff>
    </xdr:to>
    <xdr:sp macro="" textlink="">
      <xdr:nvSpPr>
        <xdr:cNvPr id="5" name="Solver_shape$F$68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 bwMode="auto">
        <a:xfrm>
          <a:off x="2228850" y="12268200"/>
          <a:ext cx="152400" cy="152400"/>
        </a:xfrm>
        <a:prstGeom prst="flowChartConnector">
          <a:avLst/>
        </a:prstGeom>
        <a:noFill/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>
                  <a:alpha val="0"/>
                </a:srgbClr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67</xdr:row>
      <xdr:rowOff>76200</xdr:rowOff>
    </xdr:from>
    <xdr:to>
      <xdr:col>5</xdr:col>
      <xdr:colOff>0</xdr:colOff>
      <xdr:row>67</xdr:row>
      <xdr:rowOff>76200</xdr:rowOff>
    </xdr:to>
    <xdr:cxnSp macro="">
      <xdr:nvCxnSpPr>
        <xdr:cNvPr id="6" name="Solver_line$F$68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CxnSpPr/>
      </xdr:nvCxnSpPr>
      <xdr:spPr bwMode="auto">
        <a:xfrm>
          <a:off x="1009650" y="12344400"/>
          <a:ext cx="121920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0</xdr:colOff>
      <xdr:row>22</xdr:row>
      <xdr:rowOff>76200</xdr:rowOff>
    </xdr:from>
    <xdr:to>
      <xdr:col>7</xdr:col>
      <xdr:colOff>0</xdr:colOff>
      <xdr:row>67</xdr:row>
      <xdr:rowOff>76200</xdr:rowOff>
    </xdr:to>
    <xdr:cxnSp macro="">
      <xdr:nvCxnSpPr>
        <xdr:cNvPr id="7" name="Solver_shapecon$J$23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CxnSpPr/>
      </xdr:nvCxnSpPr>
      <xdr:spPr bwMode="auto">
        <a:xfrm flipV="1">
          <a:off x="2381250" y="4114800"/>
          <a:ext cx="247650" cy="822960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 editAs="oneCell">
    <xdr:from>
      <xdr:col>9</xdr:col>
      <xdr:colOff>0</xdr:colOff>
      <xdr:row>22</xdr:row>
      <xdr:rowOff>0</xdr:rowOff>
    </xdr:from>
    <xdr:to>
      <xdr:col>10</xdr:col>
      <xdr:colOff>0</xdr:colOff>
      <xdr:row>23</xdr:row>
      <xdr:rowOff>0</xdr:rowOff>
    </xdr:to>
    <xdr:sp macro="" textlink="">
      <xdr:nvSpPr>
        <xdr:cNvPr id="8" name="Solver_shape$J$23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 bwMode="auto">
        <a:xfrm>
          <a:off x="3848100" y="4038600"/>
          <a:ext cx="152400" cy="152400"/>
        </a:xfrm>
        <a:prstGeom prst="flowChartProcess">
          <a:avLst/>
        </a:prstGeom>
        <a:noFill/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>
                  <a:alpha val="0"/>
                </a:srgbClr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22</xdr:row>
      <xdr:rowOff>76200</xdr:rowOff>
    </xdr:from>
    <xdr:to>
      <xdr:col>9</xdr:col>
      <xdr:colOff>0</xdr:colOff>
      <xdr:row>22</xdr:row>
      <xdr:rowOff>76200</xdr:rowOff>
    </xdr:to>
    <xdr:cxnSp macro="">
      <xdr:nvCxnSpPr>
        <xdr:cNvPr id="9" name="Solver_line$J$23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CxnSpPr/>
      </xdr:nvCxnSpPr>
      <xdr:spPr bwMode="auto">
        <a:xfrm>
          <a:off x="2628900" y="4114800"/>
          <a:ext cx="121920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10</xdr:col>
      <xdr:colOff>0</xdr:colOff>
      <xdr:row>7</xdr:row>
      <xdr:rowOff>76200</xdr:rowOff>
    </xdr:from>
    <xdr:to>
      <xdr:col>11</xdr:col>
      <xdr:colOff>0</xdr:colOff>
      <xdr:row>22</xdr:row>
      <xdr:rowOff>76200</xdr:rowOff>
    </xdr:to>
    <xdr:cxnSp macro="">
      <xdr:nvCxnSpPr>
        <xdr:cNvPr id="10" name="Solver_shapecon$N$8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CxnSpPr/>
      </xdr:nvCxnSpPr>
      <xdr:spPr bwMode="auto">
        <a:xfrm flipV="1">
          <a:off x="4000500" y="1371600"/>
          <a:ext cx="247650" cy="274320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 editAs="oneCell">
    <xdr:from>
      <xdr:col>13</xdr:col>
      <xdr:colOff>0</xdr:colOff>
      <xdr:row>7</xdr:row>
      <xdr:rowOff>0</xdr:rowOff>
    </xdr:from>
    <xdr:to>
      <xdr:col>14</xdr:col>
      <xdr:colOff>0</xdr:colOff>
      <xdr:row>8</xdr:row>
      <xdr:rowOff>0</xdr:rowOff>
    </xdr:to>
    <xdr:sp macro="" textlink="">
      <xdr:nvSpPr>
        <xdr:cNvPr id="11" name="Solver_shape$N$8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 bwMode="auto">
        <a:xfrm>
          <a:off x="5467350" y="1295400"/>
          <a:ext cx="152400" cy="152400"/>
        </a:xfrm>
        <a:prstGeom prst="flowChartConnector">
          <a:avLst/>
        </a:prstGeom>
        <a:noFill/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>
                  <a:alpha val="0"/>
                </a:srgbClr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7</xdr:row>
      <xdr:rowOff>76200</xdr:rowOff>
    </xdr:from>
    <xdr:to>
      <xdr:col>13</xdr:col>
      <xdr:colOff>0</xdr:colOff>
      <xdr:row>7</xdr:row>
      <xdr:rowOff>76200</xdr:rowOff>
    </xdr:to>
    <xdr:cxnSp macro="">
      <xdr:nvCxnSpPr>
        <xdr:cNvPr id="12" name="Solver_line$N$8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CxnSpPr/>
      </xdr:nvCxnSpPr>
      <xdr:spPr bwMode="auto">
        <a:xfrm>
          <a:off x="4248150" y="1371600"/>
          <a:ext cx="121920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14</xdr:col>
      <xdr:colOff>0</xdr:colOff>
      <xdr:row>2</xdr:row>
      <xdr:rowOff>76200</xdr:rowOff>
    </xdr:from>
    <xdr:to>
      <xdr:col>15</xdr:col>
      <xdr:colOff>0</xdr:colOff>
      <xdr:row>7</xdr:row>
      <xdr:rowOff>76200</xdr:rowOff>
    </xdr:to>
    <xdr:cxnSp macro="">
      <xdr:nvCxnSpPr>
        <xdr:cNvPr id="13" name="Solver_shapecon$R$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CxnSpPr/>
      </xdr:nvCxnSpPr>
      <xdr:spPr bwMode="auto">
        <a:xfrm flipV="1">
          <a:off x="5619750" y="457200"/>
          <a:ext cx="247650" cy="91440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0</xdr:colOff>
      <xdr:row>3</xdr:row>
      <xdr:rowOff>0</xdr:rowOff>
    </xdr:to>
    <xdr:sp macro="" textlink="">
      <xdr:nvSpPr>
        <xdr:cNvPr id="14" name="Solver_shape$R$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 bwMode="auto">
        <a:xfrm rot="16200000">
          <a:off x="7086600" y="381000"/>
          <a:ext cx="152400" cy="152400"/>
        </a:xfrm>
        <a:prstGeom prst="flowChartExtract">
          <a:avLst/>
        </a:prstGeom>
        <a:noFill/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>
                  <a:alpha val="0"/>
                </a:srgbClr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2</xdr:row>
      <xdr:rowOff>76200</xdr:rowOff>
    </xdr:from>
    <xdr:to>
      <xdr:col>17</xdr:col>
      <xdr:colOff>0</xdr:colOff>
      <xdr:row>2</xdr:row>
      <xdr:rowOff>76200</xdr:rowOff>
    </xdr:to>
    <xdr:cxnSp macro="">
      <xdr:nvCxnSpPr>
        <xdr:cNvPr id="15" name="Solver_line$R$3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CxnSpPr/>
      </xdr:nvCxnSpPr>
      <xdr:spPr bwMode="auto">
        <a:xfrm>
          <a:off x="5867400" y="457200"/>
          <a:ext cx="121920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14</xdr:col>
      <xdr:colOff>0</xdr:colOff>
      <xdr:row>7</xdr:row>
      <xdr:rowOff>76200</xdr:rowOff>
    </xdr:from>
    <xdr:to>
      <xdr:col>15</xdr:col>
      <xdr:colOff>0</xdr:colOff>
      <xdr:row>7</xdr:row>
      <xdr:rowOff>76200</xdr:rowOff>
    </xdr:to>
    <xdr:cxnSp macro="">
      <xdr:nvCxnSpPr>
        <xdr:cNvPr id="16" name="Solver_shapecon$R$8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CxnSpPr/>
      </xdr:nvCxnSpPr>
      <xdr:spPr bwMode="auto">
        <a:xfrm>
          <a:off x="5619750" y="1371600"/>
          <a:ext cx="24765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 editAs="oneCell">
    <xdr:from>
      <xdr:col>17</xdr:col>
      <xdr:colOff>0</xdr:colOff>
      <xdr:row>7</xdr:row>
      <xdr:rowOff>0</xdr:rowOff>
    </xdr:from>
    <xdr:to>
      <xdr:col>18</xdr:col>
      <xdr:colOff>0</xdr:colOff>
      <xdr:row>8</xdr:row>
      <xdr:rowOff>0</xdr:rowOff>
    </xdr:to>
    <xdr:sp macro="" textlink="">
      <xdr:nvSpPr>
        <xdr:cNvPr id="17" name="Solver_shape$R$8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 bwMode="auto">
        <a:xfrm rot="16200000">
          <a:off x="7086600" y="1295400"/>
          <a:ext cx="152400" cy="152400"/>
        </a:xfrm>
        <a:prstGeom prst="flowChartExtract">
          <a:avLst/>
        </a:prstGeom>
        <a:noFill/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>
                  <a:alpha val="0"/>
                </a:srgbClr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7</xdr:row>
      <xdr:rowOff>76200</xdr:rowOff>
    </xdr:from>
    <xdr:to>
      <xdr:col>17</xdr:col>
      <xdr:colOff>0</xdr:colOff>
      <xdr:row>7</xdr:row>
      <xdr:rowOff>76200</xdr:rowOff>
    </xdr:to>
    <xdr:cxnSp macro="">
      <xdr:nvCxnSpPr>
        <xdr:cNvPr id="18" name="Solver_line$R$8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CxnSpPr/>
      </xdr:nvCxnSpPr>
      <xdr:spPr bwMode="auto">
        <a:xfrm>
          <a:off x="5867400" y="1371600"/>
          <a:ext cx="121920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14</xdr:col>
      <xdr:colOff>0</xdr:colOff>
      <xdr:row>7</xdr:row>
      <xdr:rowOff>76200</xdr:rowOff>
    </xdr:from>
    <xdr:to>
      <xdr:col>15</xdr:col>
      <xdr:colOff>0</xdr:colOff>
      <xdr:row>12</xdr:row>
      <xdr:rowOff>76200</xdr:rowOff>
    </xdr:to>
    <xdr:cxnSp macro="">
      <xdr:nvCxnSpPr>
        <xdr:cNvPr id="19" name="Solver_shapecon$R$13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CxnSpPr/>
      </xdr:nvCxnSpPr>
      <xdr:spPr bwMode="auto">
        <a:xfrm>
          <a:off x="5619750" y="1371600"/>
          <a:ext cx="247650" cy="91440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 editAs="oneCell">
    <xdr:from>
      <xdr:col>17</xdr:col>
      <xdr:colOff>0</xdr:colOff>
      <xdr:row>12</xdr:row>
      <xdr:rowOff>0</xdr:rowOff>
    </xdr:from>
    <xdr:to>
      <xdr:col>18</xdr:col>
      <xdr:colOff>0</xdr:colOff>
      <xdr:row>13</xdr:row>
      <xdr:rowOff>0</xdr:rowOff>
    </xdr:to>
    <xdr:sp macro="" textlink="">
      <xdr:nvSpPr>
        <xdr:cNvPr id="20" name="Solver_shape$R$13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 bwMode="auto">
        <a:xfrm rot="16200000">
          <a:off x="7086600" y="2209800"/>
          <a:ext cx="152400" cy="152400"/>
        </a:xfrm>
        <a:prstGeom prst="flowChartExtract">
          <a:avLst/>
        </a:prstGeom>
        <a:noFill/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>
                  <a:alpha val="0"/>
                </a:srgbClr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12</xdr:row>
      <xdr:rowOff>76200</xdr:rowOff>
    </xdr:from>
    <xdr:to>
      <xdr:col>17</xdr:col>
      <xdr:colOff>0</xdr:colOff>
      <xdr:row>12</xdr:row>
      <xdr:rowOff>76200</xdr:rowOff>
    </xdr:to>
    <xdr:cxnSp macro="">
      <xdr:nvCxnSpPr>
        <xdr:cNvPr id="21" name="Solver_line$R$13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CxnSpPr/>
      </xdr:nvCxnSpPr>
      <xdr:spPr bwMode="auto">
        <a:xfrm>
          <a:off x="5867400" y="2286000"/>
          <a:ext cx="121920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10</xdr:col>
      <xdr:colOff>0</xdr:colOff>
      <xdr:row>22</xdr:row>
      <xdr:rowOff>76200</xdr:rowOff>
    </xdr:from>
    <xdr:to>
      <xdr:col>11</xdr:col>
      <xdr:colOff>0</xdr:colOff>
      <xdr:row>22</xdr:row>
      <xdr:rowOff>76200</xdr:rowOff>
    </xdr:to>
    <xdr:cxnSp macro="">
      <xdr:nvCxnSpPr>
        <xdr:cNvPr id="22" name="Solver_shapecon$N$23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CxnSpPr/>
      </xdr:nvCxnSpPr>
      <xdr:spPr bwMode="auto">
        <a:xfrm>
          <a:off x="4000500" y="4114800"/>
          <a:ext cx="24765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 editAs="oneCell">
    <xdr:from>
      <xdr:col>13</xdr:col>
      <xdr:colOff>0</xdr:colOff>
      <xdr:row>22</xdr:row>
      <xdr:rowOff>0</xdr:rowOff>
    </xdr:from>
    <xdr:to>
      <xdr:col>14</xdr:col>
      <xdr:colOff>0</xdr:colOff>
      <xdr:row>23</xdr:row>
      <xdr:rowOff>0</xdr:rowOff>
    </xdr:to>
    <xdr:sp macro="" textlink="">
      <xdr:nvSpPr>
        <xdr:cNvPr id="23" name="Solver_shape$N$23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 bwMode="auto">
        <a:xfrm>
          <a:off x="5467350" y="4038600"/>
          <a:ext cx="152400" cy="152400"/>
        </a:xfrm>
        <a:prstGeom prst="flowChartConnector">
          <a:avLst/>
        </a:prstGeom>
        <a:noFill/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>
                  <a:alpha val="0"/>
                </a:srgbClr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22</xdr:row>
      <xdr:rowOff>76200</xdr:rowOff>
    </xdr:from>
    <xdr:to>
      <xdr:col>13</xdr:col>
      <xdr:colOff>0</xdr:colOff>
      <xdr:row>22</xdr:row>
      <xdr:rowOff>76200</xdr:rowOff>
    </xdr:to>
    <xdr:cxnSp macro="">
      <xdr:nvCxnSpPr>
        <xdr:cNvPr id="24" name="Solver_line$N$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CxnSpPr/>
      </xdr:nvCxnSpPr>
      <xdr:spPr bwMode="auto">
        <a:xfrm>
          <a:off x="4248150" y="4114800"/>
          <a:ext cx="121920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14</xdr:col>
      <xdr:colOff>0</xdr:colOff>
      <xdr:row>17</xdr:row>
      <xdr:rowOff>76200</xdr:rowOff>
    </xdr:from>
    <xdr:to>
      <xdr:col>15</xdr:col>
      <xdr:colOff>0</xdr:colOff>
      <xdr:row>22</xdr:row>
      <xdr:rowOff>76200</xdr:rowOff>
    </xdr:to>
    <xdr:cxnSp macro="">
      <xdr:nvCxnSpPr>
        <xdr:cNvPr id="25" name="Solver_shapecon$R$18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CxnSpPr/>
      </xdr:nvCxnSpPr>
      <xdr:spPr bwMode="auto">
        <a:xfrm flipV="1">
          <a:off x="5619750" y="3200400"/>
          <a:ext cx="247650" cy="91440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 editAs="oneCell">
    <xdr:from>
      <xdr:col>17</xdr:col>
      <xdr:colOff>0</xdr:colOff>
      <xdr:row>17</xdr:row>
      <xdr:rowOff>0</xdr:rowOff>
    </xdr:from>
    <xdr:to>
      <xdr:col>18</xdr:col>
      <xdr:colOff>0</xdr:colOff>
      <xdr:row>18</xdr:row>
      <xdr:rowOff>0</xdr:rowOff>
    </xdr:to>
    <xdr:sp macro="" textlink="">
      <xdr:nvSpPr>
        <xdr:cNvPr id="26" name="Solver_shape$R$18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 bwMode="auto">
        <a:xfrm rot="16200000">
          <a:off x="7086600" y="3124200"/>
          <a:ext cx="152400" cy="152400"/>
        </a:xfrm>
        <a:prstGeom prst="flowChartExtract">
          <a:avLst/>
        </a:prstGeom>
        <a:noFill/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>
                  <a:alpha val="0"/>
                </a:srgbClr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17</xdr:row>
      <xdr:rowOff>76200</xdr:rowOff>
    </xdr:from>
    <xdr:to>
      <xdr:col>17</xdr:col>
      <xdr:colOff>0</xdr:colOff>
      <xdr:row>17</xdr:row>
      <xdr:rowOff>76200</xdr:rowOff>
    </xdr:to>
    <xdr:cxnSp macro="">
      <xdr:nvCxnSpPr>
        <xdr:cNvPr id="27" name="Solver_line$R$18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CxnSpPr/>
      </xdr:nvCxnSpPr>
      <xdr:spPr bwMode="auto">
        <a:xfrm>
          <a:off x="5867400" y="3200400"/>
          <a:ext cx="121920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14</xdr:col>
      <xdr:colOff>0</xdr:colOff>
      <xdr:row>22</xdr:row>
      <xdr:rowOff>76200</xdr:rowOff>
    </xdr:from>
    <xdr:to>
      <xdr:col>15</xdr:col>
      <xdr:colOff>0</xdr:colOff>
      <xdr:row>22</xdr:row>
      <xdr:rowOff>76200</xdr:rowOff>
    </xdr:to>
    <xdr:cxnSp macro="">
      <xdr:nvCxnSpPr>
        <xdr:cNvPr id="28" name="Solver_shapecon$R$23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CxnSpPr/>
      </xdr:nvCxnSpPr>
      <xdr:spPr bwMode="auto">
        <a:xfrm>
          <a:off x="5619750" y="4114800"/>
          <a:ext cx="24765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 editAs="oneCell">
    <xdr:from>
      <xdr:col>17</xdr:col>
      <xdr:colOff>0</xdr:colOff>
      <xdr:row>22</xdr:row>
      <xdr:rowOff>0</xdr:rowOff>
    </xdr:from>
    <xdr:to>
      <xdr:col>18</xdr:col>
      <xdr:colOff>0</xdr:colOff>
      <xdr:row>23</xdr:row>
      <xdr:rowOff>0</xdr:rowOff>
    </xdr:to>
    <xdr:sp macro="" textlink="">
      <xdr:nvSpPr>
        <xdr:cNvPr id="29" name="Solver_shape$R$23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 bwMode="auto">
        <a:xfrm rot="16200000">
          <a:off x="7086600" y="4038600"/>
          <a:ext cx="152400" cy="152400"/>
        </a:xfrm>
        <a:prstGeom prst="flowChartExtract">
          <a:avLst/>
        </a:prstGeom>
        <a:noFill/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>
                  <a:alpha val="0"/>
                </a:srgbClr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22</xdr:row>
      <xdr:rowOff>76200</xdr:rowOff>
    </xdr:from>
    <xdr:to>
      <xdr:col>17</xdr:col>
      <xdr:colOff>0</xdr:colOff>
      <xdr:row>22</xdr:row>
      <xdr:rowOff>76200</xdr:rowOff>
    </xdr:to>
    <xdr:cxnSp macro="">
      <xdr:nvCxnSpPr>
        <xdr:cNvPr id="30" name="Solver_line$R$23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CxnSpPr/>
      </xdr:nvCxnSpPr>
      <xdr:spPr bwMode="auto">
        <a:xfrm>
          <a:off x="5867400" y="4114800"/>
          <a:ext cx="121920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14</xdr:col>
      <xdr:colOff>0</xdr:colOff>
      <xdr:row>22</xdr:row>
      <xdr:rowOff>76200</xdr:rowOff>
    </xdr:from>
    <xdr:to>
      <xdr:col>15</xdr:col>
      <xdr:colOff>0</xdr:colOff>
      <xdr:row>27</xdr:row>
      <xdr:rowOff>76200</xdr:rowOff>
    </xdr:to>
    <xdr:cxnSp macro="">
      <xdr:nvCxnSpPr>
        <xdr:cNvPr id="31" name="Solver_shapecon$R$28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CxnSpPr/>
      </xdr:nvCxnSpPr>
      <xdr:spPr bwMode="auto">
        <a:xfrm>
          <a:off x="5619750" y="4114800"/>
          <a:ext cx="247650" cy="91440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 editAs="oneCell">
    <xdr:from>
      <xdr:col>17</xdr:col>
      <xdr:colOff>0</xdr:colOff>
      <xdr:row>27</xdr:row>
      <xdr:rowOff>0</xdr:rowOff>
    </xdr:from>
    <xdr:to>
      <xdr:col>18</xdr:col>
      <xdr:colOff>0</xdr:colOff>
      <xdr:row>28</xdr:row>
      <xdr:rowOff>0</xdr:rowOff>
    </xdr:to>
    <xdr:sp macro="" textlink="">
      <xdr:nvSpPr>
        <xdr:cNvPr id="32" name="Solver_shape$R$28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 bwMode="auto">
        <a:xfrm rot="16200000">
          <a:off x="7086600" y="4953000"/>
          <a:ext cx="152400" cy="152400"/>
        </a:xfrm>
        <a:prstGeom prst="flowChartExtract">
          <a:avLst/>
        </a:prstGeom>
        <a:noFill/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>
                  <a:alpha val="0"/>
                </a:srgbClr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27</xdr:row>
      <xdr:rowOff>76200</xdr:rowOff>
    </xdr:from>
    <xdr:to>
      <xdr:col>17</xdr:col>
      <xdr:colOff>0</xdr:colOff>
      <xdr:row>27</xdr:row>
      <xdr:rowOff>76200</xdr:rowOff>
    </xdr:to>
    <xdr:cxnSp macro="">
      <xdr:nvCxnSpPr>
        <xdr:cNvPr id="33" name="Solver_line$R$28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CxnSpPr/>
      </xdr:nvCxnSpPr>
      <xdr:spPr bwMode="auto">
        <a:xfrm>
          <a:off x="5867400" y="5029200"/>
          <a:ext cx="121920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10</xdr:col>
      <xdr:colOff>0</xdr:colOff>
      <xdr:row>22</xdr:row>
      <xdr:rowOff>76200</xdr:rowOff>
    </xdr:from>
    <xdr:to>
      <xdr:col>11</xdr:col>
      <xdr:colOff>0</xdr:colOff>
      <xdr:row>37</xdr:row>
      <xdr:rowOff>76200</xdr:rowOff>
    </xdr:to>
    <xdr:cxnSp macro="">
      <xdr:nvCxnSpPr>
        <xdr:cNvPr id="34" name="Solver_shapecon$N$38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 bwMode="auto">
        <a:xfrm>
          <a:off x="4000500" y="4114800"/>
          <a:ext cx="247650" cy="274320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 editAs="oneCell">
    <xdr:from>
      <xdr:col>13</xdr:col>
      <xdr:colOff>0</xdr:colOff>
      <xdr:row>37</xdr:row>
      <xdr:rowOff>0</xdr:rowOff>
    </xdr:from>
    <xdr:to>
      <xdr:col>14</xdr:col>
      <xdr:colOff>0</xdr:colOff>
      <xdr:row>38</xdr:row>
      <xdr:rowOff>0</xdr:rowOff>
    </xdr:to>
    <xdr:sp macro="" textlink="">
      <xdr:nvSpPr>
        <xdr:cNvPr id="35" name="Solver_shape$N$38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 bwMode="auto">
        <a:xfrm>
          <a:off x="5467350" y="6781800"/>
          <a:ext cx="152400" cy="152400"/>
        </a:xfrm>
        <a:prstGeom prst="flowChartConnector">
          <a:avLst/>
        </a:prstGeom>
        <a:noFill/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>
                  <a:alpha val="0"/>
                </a:srgbClr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37</xdr:row>
      <xdr:rowOff>76200</xdr:rowOff>
    </xdr:from>
    <xdr:to>
      <xdr:col>13</xdr:col>
      <xdr:colOff>0</xdr:colOff>
      <xdr:row>37</xdr:row>
      <xdr:rowOff>76200</xdr:rowOff>
    </xdr:to>
    <xdr:cxnSp macro="">
      <xdr:nvCxnSpPr>
        <xdr:cNvPr id="36" name="Solver_line$N$38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CxnSpPr/>
      </xdr:nvCxnSpPr>
      <xdr:spPr bwMode="auto">
        <a:xfrm>
          <a:off x="4248150" y="6858000"/>
          <a:ext cx="121920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14</xdr:col>
      <xdr:colOff>0</xdr:colOff>
      <xdr:row>32</xdr:row>
      <xdr:rowOff>76200</xdr:rowOff>
    </xdr:from>
    <xdr:to>
      <xdr:col>15</xdr:col>
      <xdr:colOff>0</xdr:colOff>
      <xdr:row>37</xdr:row>
      <xdr:rowOff>76200</xdr:rowOff>
    </xdr:to>
    <xdr:cxnSp macro="">
      <xdr:nvCxnSpPr>
        <xdr:cNvPr id="37" name="Solver_shapecon$R$33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CxnSpPr/>
      </xdr:nvCxnSpPr>
      <xdr:spPr bwMode="auto">
        <a:xfrm flipV="1">
          <a:off x="5619750" y="5943600"/>
          <a:ext cx="247650" cy="91440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 editAs="oneCell">
    <xdr:from>
      <xdr:col>17</xdr:col>
      <xdr:colOff>0</xdr:colOff>
      <xdr:row>32</xdr:row>
      <xdr:rowOff>0</xdr:rowOff>
    </xdr:from>
    <xdr:to>
      <xdr:col>18</xdr:col>
      <xdr:colOff>0</xdr:colOff>
      <xdr:row>33</xdr:row>
      <xdr:rowOff>0</xdr:rowOff>
    </xdr:to>
    <xdr:sp macro="" textlink="">
      <xdr:nvSpPr>
        <xdr:cNvPr id="38" name="Solver_shape$R$33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/>
      </xdr:nvSpPr>
      <xdr:spPr bwMode="auto">
        <a:xfrm rot="16200000">
          <a:off x="7086600" y="5867400"/>
          <a:ext cx="152400" cy="152400"/>
        </a:xfrm>
        <a:prstGeom prst="flowChartExtract">
          <a:avLst/>
        </a:prstGeom>
        <a:noFill/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>
                  <a:alpha val="0"/>
                </a:srgbClr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32</xdr:row>
      <xdr:rowOff>76200</xdr:rowOff>
    </xdr:from>
    <xdr:to>
      <xdr:col>17</xdr:col>
      <xdr:colOff>0</xdr:colOff>
      <xdr:row>32</xdr:row>
      <xdr:rowOff>76200</xdr:rowOff>
    </xdr:to>
    <xdr:cxnSp macro="">
      <xdr:nvCxnSpPr>
        <xdr:cNvPr id="39" name="Solver_line$R$33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 bwMode="auto">
        <a:xfrm>
          <a:off x="5867400" y="5943600"/>
          <a:ext cx="121920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14</xdr:col>
      <xdr:colOff>0</xdr:colOff>
      <xdr:row>37</xdr:row>
      <xdr:rowOff>76200</xdr:rowOff>
    </xdr:from>
    <xdr:to>
      <xdr:col>15</xdr:col>
      <xdr:colOff>0</xdr:colOff>
      <xdr:row>37</xdr:row>
      <xdr:rowOff>76200</xdr:rowOff>
    </xdr:to>
    <xdr:cxnSp macro="">
      <xdr:nvCxnSpPr>
        <xdr:cNvPr id="40" name="Solver_shapecon$R$38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 bwMode="auto">
        <a:xfrm>
          <a:off x="5619750" y="6858000"/>
          <a:ext cx="24765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 editAs="oneCell">
    <xdr:from>
      <xdr:col>17</xdr:col>
      <xdr:colOff>0</xdr:colOff>
      <xdr:row>37</xdr:row>
      <xdr:rowOff>0</xdr:rowOff>
    </xdr:from>
    <xdr:to>
      <xdr:col>18</xdr:col>
      <xdr:colOff>0</xdr:colOff>
      <xdr:row>38</xdr:row>
      <xdr:rowOff>0</xdr:rowOff>
    </xdr:to>
    <xdr:sp macro="" textlink="">
      <xdr:nvSpPr>
        <xdr:cNvPr id="41" name="Solver_shape$R$38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 bwMode="auto">
        <a:xfrm rot="16200000">
          <a:off x="7086600" y="6781800"/>
          <a:ext cx="152400" cy="152400"/>
        </a:xfrm>
        <a:prstGeom prst="flowChartExtract">
          <a:avLst/>
        </a:prstGeom>
        <a:noFill/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>
                  <a:alpha val="0"/>
                </a:srgbClr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37</xdr:row>
      <xdr:rowOff>76200</xdr:rowOff>
    </xdr:from>
    <xdr:to>
      <xdr:col>17</xdr:col>
      <xdr:colOff>0</xdr:colOff>
      <xdr:row>37</xdr:row>
      <xdr:rowOff>76200</xdr:rowOff>
    </xdr:to>
    <xdr:cxnSp macro="">
      <xdr:nvCxnSpPr>
        <xdr:cNvPr id="42" name="Solver_line$R$38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CxnSpPr/>
      </xdr:nvCxnSpPr>
      <xdr:spPr bwMode="auto">
        <a:xfrm>
          <a:off x="5867400" y="6858000"/>
          <a:ext cx="121920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14</xdr:col>
      <xdr:colOff>0</xdr:colOff>
      <xdr:row>37</xdr:row>
      <xdr:rowOff>76200</xdr:rowOff>
    </xdr:from>
    <xdr:to>
      <xdr:col>15</xdr:col>
      <xdr:colOff>0</xdr:colOff>
      <xdr:row>42</xdr:row>
      <xdr:rowOff>76200</xdr:rowOff>
    </xdr:to>
    <xdr:cxnSp macro="">
      <xdr:nvCxnSpPr>
        <xdr:cNvPr id="43" name="Solver_shapecon$R$43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CxnSpPr/>
      </xdr:nvCxnSpPr>
      <xdr:spPr bwMode="auto">
        <a:xfrm>
          <a:off x="5619750" y="6858000"/>
          <a:ext cx="247650" cy="91440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 editAs="oneCell">
    <xdr:from>
      <xdr:col>17</xdr:col>
      <xdr:colOff>0</xdr:colOff>
      <xdr:row>42</xdr:row>
      <xdr:rowOff>0</xdr:rowOff>
    </xdr:from>
    <xdr:to>
      <xdr:col>18</xdr:col>
      <xdr:colOff>0</xdr:colOff>
      <xdr:row>43</xdr:row>
      <xdr:rowOff>0</xdr:rowOff>
    </xdr:to>
    <xdr:sp macro="" textlink="">
      <xdr:nvSpPr>
        <xdr:cNvPr id="44" name="Solver_shape$R$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/>
      </xdr:nvSpPr>
      <xdr:spPr bwMode="auto">
        <a:xfrm rot="16200000">
          <a:off x="7086600" y="7696200"/>
          <a:ext cx="152400" cy="152400"/>
        </a:xfrm>
        <a:prstGeom prst="flowChartExtract">
          <a:avLst/>
        </a:prstGeom>
        <a:noFill/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>
                  <a:alpha val="0"/>
                </a:srgbClr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42</xdr:row>
      <xdr:rowOff>76200</xdr:rowOff>
    </xdr:from>
    <xdr:to>
      <xdr:col>17</xdr:col>
      <xdr:colOff>0</xdr:colOff>
      <xdr:row>42</xdr:row>
      <xdr:rowOff>76200</xdr:rowOff>
    </xdr:to>
    <xdr:cxnSp macro="">
      <xdr:nvCxnSpPr>
        <xdr:cNvPr id="45" name="Solver_line$R$43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CxnSpPr/>
      </xdr:nvCxnSpPr>
      <xdr:spPr bwMode="auto">
        <a:xfrm>
          <a:off x="5867400" y="7772400"/>
          <a:ext cx="121920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0</xdr:colOff>
      <xdr:row>67</xdr:row>
      <xdr:rowOff>76200</xdr:rowOff>
    </xdr:from>
    <xdr:to>
      <xdr:col>7</xdr:col>
      <xdr:colOff>0</xdr:colOff>
      <xdr:row>67</xdr:row>
      <xdr:rowOff>76200</xdr:rowOff>
    </xdr:to>
    <xdr:cxnSp macro="">
      <xdr:nvCxnSpPr>
        <xdr:cNvPr id="46" name="Solver_shapecon$J$68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CxnSpPr/>
      </xdr:nvCxnSpPr>
      <xdr:spPr bwMode="auto">
        <a:xfrm>
          <a:off x="2381250" y="12344400"/>
          <a:ext cx="24765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 editAs="oneCell">
    <xdr:from>
      <xdr:col>9</xdr:col>
      <xdr:colOff>0</xdr:colOff>
      <xdr:row>67</xdr:row>
      <xdr:rowOff>0</xdr:rowOff>
    </xdr:from>
    <xdr:to>
      <xdr:col>10</xdr:col>
      <xdr:colOff>0</xdr:colOff>
      <xdr:row>68</xdr:row>
      <xdr:rowOff>0</xdr:rowOff>
    </xdr:to>
    <xdr:sp macro="" textlink="">
      <xdr:nvSpPr>
        <xdr:cNvPr id="47" name="Solver_shape$J$68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/>
      </xdr:nvSpPr>
      <xdr:spPr bwMode="auto">
        <a:xfrm>
          <a:off x="3848100" y="12268200"/>
          <a:ext cx="152400" cy="152400"/>
        </a:xfrm>
        <a:prstGeom prst="flowChartProcess">
          <a:avLst/>
        </a:prstGeom>
        <a:noFill/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>
                  <a:alpha val="0"/>
                </a:srgbClr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67</xdr:row>
      <xdr:rowOff>76200</xdr:rowOff>
    </xdr:from>
    <xdr:to>
      <xdr:col>9</xdr:col>
      <xdr:colOff>0</xdr:colOff>
      <xdr:row>67</xdr:row>
      <xdr:rowOff>76200</xdr:rowOff>
    </xdr:to>
    <xdr:cxnSp macro="">
      <xdr:nvCxnSpPr>
        <xdr:cNvPr id="48" name="Solver_line$J$68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CxnSpPr/>
      </xdr:nvCxnSpPr>
      <xdr:spPr bwMode="auto">
        <a:xfrm>
          <a:off x="2628900" y="12344400"/>
          <a:ext cx="121920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10</xdr:col>
      <xdr:colOff>0</xdr:colOff>
      <xdr:row>52</xdr:row>
      <xdr:rowOff>76200</xdr:rowOff>
    </xdr:from>
    <xdr:to>
      <xdr:col>11</xdr:col>
      <xdr:colOff>0</xdr:colOff>
      <xdr:row>67</xdr:row>
      <xdr:rowOff>76200</xdr:rowOff>
    </xdr:to>
    <xdr:cxnSp macro="">
      <xdr:nvCxnSpPr>
        <xdr:cNvPr id="49" name="Solver_shapecon$N$53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CxnSpPr/>
      </xdr:nvCxnSpPr>
      <xdr:spPr bwMode="auto">
        <a:xfrm flipV="1">
          <a:off x="4000500" y="9601200"/>
          <a:ext cx="247650" cy="274320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 editAs="oneCell">
    <xdr:from>
      <xdr:col>13</xdr:col>
      <xdr:colOff>0</xdr:colOff>
      <xdr:row>52</xdr:row>
      <xdr:rowOff>0</xdr:rowOff>
    </xdr:from>
    <xdr:to>
      <xdr:col>14</xdr:col>
      <xdr:colOff>0</xdr:colOff>
      <xdr:row>53</xdr:row>
      <xdr:rowOff>0</xdr:rowOff>
    </xdr:to>
    <xdr:sp macro="" textlink="">
      <xdr:nvSpPr>
        <xdr:cNvPr id="50" name="Solver_shape$N$53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/>
      </xdr:nvSpPr>
      <xdr:spPr bwMode="auto">
        <a:xfrm>
          <a:off x="5467350" y="9525000"/>
          <a:ext cx="152400" cy="152400"/>
        </a:xfrm>
        <a:prstGeom prst="flowChartConnector">
          <a:avLst/>
        </a:prstGeom>
        <a:noFill/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>
                  <a:alpha val="0"/>
                </a:srgbClr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52</xdr:row>
      <xdr:rowOff>76200</xdr:rowOff>
    </xdr:from>
    <xdr:to>
      <xdr:col>13</xdr:col>
      <xdr:colOff>0</xdr:colOff>
      <xdr:row>52</xdr:row>
      <xdr:rowOff>76200</xdr:rowOff>
    </xdr:to>
    <xdr:cxnSp macro="">
      <xdr:nvCxnSpPr>
        <xdr:cNvPr id="51" name="Solver_line$N$53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CxnSpPr/>
      </xdr:nvCxnSpPr>
      <xdr:spPr bwMode="auto">
        <a:xfrm>
          <a:off x="4248150" y="9601200"/>
          <a:ext cx="121920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14</xdr:col>
      <xdr:colOff>0</xdr:colOff>
      <xdr:row>47</xdr:row>
      <xdr:rowOff>76200</xdr:rowOff>
    </xdr:from>
    <xdr:to>
      <xdr:col>15</xdr:col>
      <xdr:colOff>0</xdr:colOff>
      <xdr:row>52</xdr:row>
      <xdr:rowOff>76200</xdr:rowOff>
    </xdr:to>
    <xdr:cxnSp macro="">
      <xdr:nvCxnSpPr>
        <xdr:cNvPr id="52" name="Solver_shapecon$R$48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CxnSpPr/>
      </xdr:nvCxnSpPr>
      <xdr:spPr bwMode="auto">
        <a:xfrm flipV="1">
          <a:off x="5619750" y="8686800"/>
          <a:ext cx="247650" cy="91440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 editAs="oneCell">
    <xdr:from>
      <xdr:col>17</xdr:col>
      <xdr:colOff>0</xdr:colOff>
      <xdr:row>47</xdr:row>
      <xdr:rowOff>0</xdr:rowOff>
    </xdr:from>
    <xdr:to>
      <xdr:col>18</xdr:col>
      <xdr:colOff>0</xdr:colOff>
      <xdr:row>48</xdr:row>
      <xdr:rowOff>0</xdr:rowOff>
    </xdr:to>
    <xdr:sp macro="" textlink="">
      <xdr:nvSpPr>
        <xdr:cNvPr id="53" name="Solver_shape$R$48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/>
      </xdr:nvSpPr>
      <xdr:spPr bwMode="auto">
        <a:xfrm rot="16200000">
          <a:off x="7086600" y="8610600"/>
          <a:ext cx="152400" cy="152400"/>
        </a:xfrm>
        <a:prstGeom prst="flowChartExtract">
          <a:avLst/>
        </a:prstGeom>
        <a:noFill/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>
                  <a:alpha val="0"/>
                </a:srgbClr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47</xdr:row>
      <xdr:rowOff>76200</xdr:rowOff>
    </xdr:from>
    <xdr:to>
      <xdr:col>17</xdr:col>
      <xdr:colOff>0</xdr:colOff>
      <xdr:row>47</xdr:row>
      <xdr:rowOff>76200</xdr:rowOff>
    </xdr:to>
    <xdr:cxnSp macro="">
      <xdr:nvCxnSpPr>
        <xdr:cNvPr id="54" name="Solver_line$R$48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CxnSpPr/>
      </xdr:nvCxnSpPr>
      <xdr:spPr bwMode="auto">
        <a:xfrm>
          <a:off x="5867400" y="8686800"/>
          <a:ext cx="121920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14</xdr:col>
      <xdr:colOff>0</xdr:colOff>
      <xdr:row>52</xdr:row>
      <xdr:rowOff>76200</xdr:rowOff>
    </xdr:from>
    <xdr:to>
      <xdr:col>15</xdr:col>
      <xdr:colOff>0</xdr:colOff>
      <xdr:row>52</xdr:row>
      <xdr:rowOff>76200</xdr:rowOff>
    </xdr:to>
    <xdr:cxnSp macro="">
      <xdr:nvCxnSpPr>
        <xdr:cNvPr id="55" name="Solver_shapecon$R$53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CxnSpPr/>
      </xdr:nvCxnSpPr>
      <xdr:spPr bwMode="auto">
        <a:xfrm>
          <a:off x="5619750" y="9601200"/>
          <a:ext cx="24765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 editAs="oneCell">
    <xdr:from>
      <xdr:col>17</xdr:col>
      <xdr:colOff>0</xdr:colOff>
      <xdr:row>52</xdr:row>
      <xdr:rowOff>0</xdr:rowOff>
    </xdr:from>
    <xdr:to>
      <xdr:col>18</xdr:col>
      <xdr:colOff>0</xdr:colOff>
      <xdr:row>53</xdr:row>
      <xdr:rowOff>0</xdr:rowOff>
    </xdr:to>
    <xdr:sp macro="" textlink="">
      <xdr:nvSpPr>
        <xdr:cNvPr id="56" name="Solver_shape$R$53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/>
      </xdr:nvSpPr>
      <xdr:spPr bwMode="auto">
        <a:xfrm rot="16200000">
          <a:off x="7086600" y="9525000"/>
          <a:ext cx="152400" cy="152400"/>
        </a:xfrm>
        <a:prstGeom prst="flowChartExtract">
          <a:avLst/>
        </a:prstGeom>
        <a:noFill/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>
                  <a:alpha val="0"/>
                </a:srgbClr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52</xdr:row>
      <xdr:rowOff>76200</xdr:rowOff>
    </xdr:from>
    <xdr:to>
      <xdr:col>17</xdr:col>
      <xdr:colOff>0</xdr:colOff>
      <xdr:row>52</xdr:row>
      <xdr:rowOff>76200</xdr:rowOff>
    </xdr:to>
    <xdr:cxnSp macro="">
      <xdr:nvCxnSpPr>
        <xdr:cNvPr id="57" name="Solver_line$R$53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CxnSpPr/>
      </xdr:nvCxnSpPr>
      <xdr:spPr bwMode="auto">
        <a:xfrm>
          <a:off x="5867400" y="9601200"/>
          <a:ext cx="121920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14</xdr:col>
      <xdr:colOff>0</xdr:colOff>
      <xdr:row>52</xdr:row>
      <xdr:rowOff>76200</xdr:rowOff>
    </xdr:from>
    <xdr:to>
      <xdr:col>15</xdr:col>
      <xdr:colOff>0</xdr:colOff>
      <xdr:row>57</xdr:row>
      <xdr:rowOff>76200</xdr:rowOff>
    </xdr:to>
    <xdr:cxnSp macro="">
      <xdr:nvCxnSpPr>
        <xdr:cNvPr id="58" name="Solver_shapecon$R$58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CxnSpPr/>
      </xdr:nvCxnSpPr>
      <xdr:spPr bwMode="auto">
        <a:xfrm>
          <a:off x="5619750" y="9601200"/>
          <a:ext cx="247650" cy="91440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 editAs="oneCell">
    <xdr:from>
      <xdr:col>17</xdr:col>
      <xdr:colOff>0</xdr:colOff>
      <xdr:row>57</xdr:row>
      <xdr:rowOff>0</xdr:rowOff>
    </xdr:from>
    <xdr:to>
      <xdr:col>18</xdr:col>
      <xdr:colOff>0</xdr:colOff>
      <xdr:row>58</xdr:row>
      <xdr:rowOff>0</xdr:rowOff>
    </xdr:to>
    <xdr:sp macro="" textlink="">
      <xdr:nvSpPr>
        <xdr:cNvPr id="59" name="Solver_shape$R$58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/>
      </xdr:nvSpPr>
      <xdr:spPr bwMode="auto">
        <a:xfrm rot="16200000">
          <a:off x="7086600" y="10439400"/>
          <a:ext cx="152400" cy="152400"/>
        </a:xfrm>
        <a:prstGeom prst="flowChartExtract">
          <a:avLst/>
        </a:prstGeom>
        <a:noFill/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>
                  <a:alpha val="0"/>
                </a:srgbClr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57</xdr:row>
      <xdr:rowOff>76200</xdr:rowOff>
    </xdr:from>
    <xdr:to>
      <xdr:col>17</xdr:col>
      <xdr:colOff>0</xdr:colOff>
      <xdr:row>57</xdr:row>
      <xdr:rowOff>76200</xdr:rowOff>
    </xdr:to>
    <xdr:cxnSp macro="">
      <xdr:nvCxnSpPr>
        <xdr:cNvPr id="60" name="Solver_line$R$58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CxnSpPr/>
      </xdr:nvCxnSpPr>
      <xdr:spPr bwMode="auto">
        <a:xfrm>
          <a:off x="5867400" y="10515600"/>
          <a:ext cx="121920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10</xdr:col>
      <xdr:colOff>0</xdr:colOff>
      <xdr:row>67</xdr:row>
      <xdr:rowOff>76200</xdr:rowOff>
    </xdr:from>
    <xdr:to>
      <xdr:col>11</xdr:col>
      <xdr:colOff>0</xdr:colOff>
      <xdr:row>67</xdr:row>
      <xdr:rowOff>76200</xdr:rowOff>
    </xdr:to>
    <xdr:cxnSp macro="">
      <xdr:nvCxnSpPr>
        <xdr:cNvPr id="61" name="Solver_shapecon$N$68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CxnSpPr/>
      </xdr:nvCxnSpPr>
      <xdr:spPr bwMode="auto">
        <a:xfrm>
          <a:off x="4000500" y="12344400"/>
          <a:ext cx="24765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 editAs="oneCell">
    <xdr:from>
      <xdr:col>13</xdr:col>
      <xdr:colOff>0</xdr:colOff>
      <xdr:row>67</xdr:row>
      <xdr:rowOff>0</xdr:rowOff>
    </xdr:from>
    <xdr:to>
      <xdr:col>14</xdr:col>
      <xdr:colOff>0</xdr:colOff>
      <xdr:row>68</xdr:row>
      <xdr:rowOff>0</xdr:rowOff>
    </xdr:to>
    <xdr:sp macro="" textlink="">
      <xdr:nvSpPr>
        <xdr:cNvPr id="62" name="Solver_shape$N$68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/>
      </xdr:nvSpPr>
      <xdr:spPr bwMode="auto">
        <a:xfrm>
          <a:off x="5467350" y="12268200"/>
          <a:ext cx="152400" cy="152400"/>
        </a:xfrm>
        <a:prstGeom prst="flowChartConnector">
          <a:avLst/>
        </a:prstGeom>
        <a:noFill/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>
                  <a:alpha val="0"/>
                </a:srgbClr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67</xdr:row>
      <xdr:rowOff>76200</xdr:rowOff>
    </xdr:from>
    <xdr:to>
      <xdr:col>13</xdr:col>
      <xdr:colOff>0</xdr:colOff>
      <xdr:row>67</xdr:row>
      <xdr:rowOff>76200</xdr:rowOff>
    </xdr:to>
    <xdr:cxnSp macro="">
      <xdr:nvCxnSpPr>
        <xdr:cNvPr id="63" name="Solver_line$N$68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CxnSpPr/>
      </xdr:nvCxnSpPr>
      <xdr:spPr bwMode="auto">
        <a:xfrm>
          <a:off x="4248150" y="12344400"/>
          <a:ext cx="121920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14</xdr:col>
      <xdr:colOff>0</xdr:colOff>
      <xdr:row>62</xdr:row>
      <xdr:rowOff>76200</xdr:rowOff>
    </xdr:from>
    <xdr:to>
      <xdr:col>15</xdr:col>
      <xdr:colOff>0</xdr:colOff>
      <xdr:row>67</xdr:row>
      <xdr:rowOff>76200</xdr:rowOff>
    </xdr:to>
    <xdr:cxnSp macro="">
      <xdr:nvCxnSpPr>
        <xdr:cNvPr id="64" name="Solver_shapecon$R$63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CxnSpPr/>
      </xdr:nvCxnSpPr>
      <xdr:spPr bwMode="auto">
        <a:xfrm flipV="1">
          <a:off x="5619750" y="11430000"/>
          <a:ext cx="247650" cy="91440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 editAs="oneCell">
    <xdr:from>
      <xdr:col>17</xdr:col>
      <xdr:colOff>0</xdr:colOff>
      <xdr:row>62</xdr:row>
      <xdr:rowOff>0</xdr:rowOff>
    </xdr:from>
    <xdr:to>
      <xdr:col>18</xdr:col>
      <xdr:colOff>0</xdr:colOff>
      <xdr:row>63</xdr:row>
      <xdr:rowOff>0</xdr:rowOff>
    </xdr:to>
    <xdr:sp macro="" textlink="">
      <xdr:nvSpPr>
        <xdr:cNvPr id="65" name="Solver_shape$R$63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SpPr/>
      </xdr:nvSpPr>
      <xdr:spPr bwMode="auto">
        <a:xfrm rot="16200000">
          <a:off x="7086600" y="11353800"/>
          <a:ext cx="152400" cy="152400"/>
        </a:xfrm>
        <a:prstGeom prst="flowChartExtract">
          <a:avLst/>
        </a:prstGeom>
        <a:noFill/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>
                  <a:alpha val="0"/>
                </a:srgbClr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62</xdr:row>
      <xdr:rowOff>76200</xdr:rowOff>
    </xdr:from>
    <xdr:to>
      <xdr:col>17</xdr:col>
      <xdr:colOff>0</xdr:colOff>
      <xdr:row>62</xdr:row>
      <xdr:rowOff>76200</xdr:rowOff>
    </xdr:to>
    <xdr:cxnSp macro="">
      <xdr:nvCxnSpPr>
        <xdr:cNvPr id="66" name="Solver_line$R$63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CxnSpPr/>
      </xdr:nvCxnSpPr>
      <xdr:spPr bwMode="auto">
        <a:xfrm>
          <a:off x="5867400" y="11430000"/>
          <a:ext cx="121920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14</xdr:col>
      <xdr:colOff>0</xdr:colOff>
      <xdr:row>67</xdr:row>
      <xdr:rowOff>76200</xdr:rowOff>
    </xdr:from>
    <xdr:to>
      <xdr:col>15</xdr:col>
      <xdr:colOff>0</xdr:colOff>
      <xdr:row>67</xdr:row>
      <xdr:rowOff>76200</xdr:rowOff>
    </xdr:to>
    <xdr:cxnSp macro="">
      <xdr:nvCxnSpPr>
        <xdr:cNvPr id="67" name="Solver_shapecon$R$68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CxnSpPr/>
      </xdr:nvCxnSpPr>
      <xdr:spPr bwMode="auto">
        <a:xfrm>
          <a:off x="5619750" y="12344400"/>
          <a:ext cx="24765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 editAs="oneCell">
    <xdr:from>
      <xdr:col>17</xdr:col>
      <xdr:colOff>0</xdr:colOff>
      <xdr:row>67</xdr:row>
      <xdr:rowOff>0</xdr:rowOff>
    </xdr:from>
    <xdr:to>
      <xdr:col>18</xdr:col>
      <xdr:colOff>0</xdr:colOff>
      <xdr:row>68</xdr:row>
      <xdr:rowOff>0</xdr:rowOff>
    </xdr:to>
    <xdr:sp macro="" textlink="">
      <xdr:nvSpPr>
        <xdr:cNvPr id="68" name="Solver_shape$R$68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SpPr/>
      </xdr:nvSpPr>
      <xdr:spPr bwMode="auto">
        <a:xfrm rot="16200000">
          <a:off x="7086600" y="12268200"/>
          <a:ext cx="152400" cy="152400"/>
        </a:xfrm>
        <a:prstGeom prst="flowChartExtract">
          <a:avLst/>
        </a:prstGeom>
        <a:noFill/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>
                  <a:alpha val="0"/>
                </a:srgbClr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67</xdr:row>
      <xdr:rowOff>76200</xdr:rowOff>
    </xdr:from>
    <xdr:to>
      <xdr:col>17</xdr:col>
      <xdr:colOff>0</xdr:colOff>
      <xdr:row>67</xdr:row>
      <xdr:rowOff>76200</xdr:rowOff>
    </xdr:to>
    <xdr:cxnSp macro="">
      <xdr:nvCxnSpPr>
        <xdr:cNvPr id="69" name="Solver_line$R$68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CxnSpPr/>
      </xdr:nvCxnSpPr>
      <xdr:spPr bwMode="auto">
        <a:xfrm>
          <a:off x="5867400" y="12344400"/>
          <a:ext cx="121920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14</xdr:col>
      <xdr:colOff>0</xdr:colOff>
      <xdr:row>67</xdr:row>
      <xdr:rowOff>76200</xdr:rowOff>
    </xdr:from>
    <xdr:to>
      <xdr:col>15</xdr:col>
      <xdr:colOff>0</xdr:colOff>
      <xdr:row>72</xdr:row>
      <xdr:rowOff>76200</xdr:rowOff>
    </xdr:to>
    <xdr:cxnSp macro="">
      <xdr:nvCxnSpPr>
        <xdr:cNvPr id="70" name="Solver_shapecon$R$73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CxnSpPr/>
      </xdr:nvCxnSpPr>
      <xdr:spPr bwMode="auto">
        <a:xfrm>
          <a:off x="5619750" y="12344400"/>
          <a:ext cx="247650" cy="91440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 editAs="oneCell">
    <xdr:from>
      <xdr:col>17</xdr:col>
      <xdr:colOff>0</xdr:colOff>
      <xdr:row>72</xdr:row>
      <xdr:rowOff>0</xdr:rowOff>
    </xdr:from>
    <xdr:to>
      <xdr:col>18</xdr:col>
      <xdr:colOff>0</xdr:colOff>
      <xdr:row>73</xdr:row>
      <xdr:rowOff>0</xdr:rowOff>
    </xdr:to>
    <xdr:sp macro="" textlink="">
      <xdr:nvSpPr>
        <xdr:cNvPr id="71" name="Solver_shape$R$73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SpPr/>
      </xdr:nvSpPr>
      <xdr:spPr bwMode="auto">
        <a:xfrm rot="16200000">
          <a:off x="7086600" y="13182600"/>
          <a:ext cx="152400" cy="152400"/>
        </a:xfrm>
        <a:prstGeom prst="flowChartExtract">
          <a:avLst/>
        </a:prstGeom>
        <a:noFill/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>
                  <a:alpha val="0"/>
                </a:srgbClr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72</xdr:row>
      <xdr:rowOff>76200</xdr:rowOff>
    </xdr:from>
    <xdr:to>
      <xdr:col>17</xdr:col>
      <xdr:colOff>0</xdr:colOff>
      <xdr:row>72</xdr:row>
      <xdr:rowOff>76200</xdr:rowOff>
    </xdr:to>
    <xdr:cxnSp macro="">
      <xdr:nvCxnSpPr>
        <xdr:cNvPr id="72" name="Solver_line$R$73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CxnSpPr/>
      </xdr:nvCxnSpPr>
      <xdr:spPr bwMode="auto">
        <a:xfrm>
          <a:off x="5867400" y="13258800"/>
          <a:ext cx="121920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10</xdr:col>
      <xdr:colOff>0</xdr:colOff>
      <xdr:row>67</xdr:row>
      <xdr:rowOff>76200</xdr:rowOff>
    </xdr:from>
    <xdr:to>
      <xdr:col>11</xdr:col>
      <xdr:colOff>0</xdr:colOff>
      <xdr:row>82</xdr:row>
      <xdr:rowOff>76200</xdr:rowOff>
    </xdr:to>
    <xdr:cxnSp macro="">
      <xdr:nvCxnSpPr>
        <xdr:cNvPr id="73" name="Solver_shapecon$N$83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CxnSpPr/>
      </xdr:nvCxnSpPr>
      <xdr:spPr bwMode="auto">
        <a:xfrm>
          <a:off x="4000500" y="12344400"/>
          <a:ext cx="247650" cy="274320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 editAs="oneCell">
    <xdr:from>
      <xdr:col>13</xdr:col>
      <xdr:colOff>0</xdr:colOff>
      <xdr:row>82</xdr:row>
      <xdr:rowOff>0</xdr:rowOff>
    </xdr:from>
    <xdr:to>
      <xdr:col>14</xdr:col>
      <xdr:colOff>0</xdr:colOff>
      <xdr:row>83</xdr:row>
      <xdr:rowOff>0</xdr:rowOff>
    </xdr:to>
    <xdr:sp macro="" textlink="">
      <xdr:nvSpPr>
        <xdr:cNvPr id="74" name="Solver_shape$N$83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SpPr/>
      </xdr:nvSpPr>
      <xdr:spPr bwMode="auto">
        <a:xfrm>
          <a:off x="5467350" y="15011400"/>
          <a:ext cx="152400" cy="152400"/>
        </a:xfrm>
        <a:prstGeom prst="flowChartConnector">
          <a:avLst/>
        </a:prstGeom>
        <a:noFill/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>
                  <a:alpha val="0"/>
                </a:srgbClr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82</xdr:row>
      <xdr:rowOff>76200</xdr:rowOff>
    </xdr:from>
    <xdr:to>
      <xdr:col>13</xdr:col>
      <xdr:colOff>0</xdr:colOff>
      <xdr:row>82</xdr:row>
      <xdr:rowOff>76200</xdr:rowOff>
    </xdr:to>
    <xdr:cxnSp macro="">
      <xdr:nvCxnSpPr>
        <xdr:cNvPr id="75" name="Solver_line$N$83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CxnSpPr/>
      </xdr:nvCxnSpPr>
      <xdr:spPr bwMode="auto">
        <a:xfrm>
          <a:off x="4248150" y="15087600"/>
          <a:ext cx="121920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14</xdr:col>
      <xdr:colOff>0</xdr:colOff>
      <xdr:row>77</xdr:row>
      <xdr:rowOff>76200</xdr:rowOff>
    </xdr:from>
    <xdr:to>
      <xdr:col>15</xdr:col>
      <xdr:colOff>0</xdr:colOff>
      <xdr:row>82</xdr:row>
      <xdr:rowOff>76200</xdr:rowOff>
    </xdr:to>
    <xdr:cxnSp macro="">
      <xdr:nvCxnSpPr>
        <xdr:cNvPr id="76" name="Solver_shapecon$R$78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CxnSpPr/>
      </xdr:nvCxnSpPr>
      <xdr:spPr bwMode="auto">
        <a:xfrm flipV="1">
          <a:off x="5619750" y="14173200"/>
          <a:ext cx="247650" cy="91440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 editAs="oneCell">
    <xdr:from>
      <xdr:col>17</xdr:col>
      <xdr:colOff>0</xdr:colOff>
      <xdr:row>77</xdr:row>
      <xdr:rowOff>0</xdr:rowOff>
    </xdr:from>
    <xdr:to>
      <xdr:col>18</xdr:col>
      <xdr:colOff>0</xdr:colOff>
      <xdr:row>78</xdr:row>
      <xdr:rowOff>0</xdr:rowOff>
    </xdr:to>
    <xdr:sp macro="" textlink="">
      <xdr:nvSpPr>
        <xdr:cNvPr id="77" name="Solver_shape$R$78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SpPr/>
      </xdr:nvSpPr>
      <xdr:spPr bwMode="auto">
        <a:xfrm rot="16200000">
          <a:off x="7086600" y="14097000"/>
          <a:ext cx="152400" cy="152400"/>
        </a:xfrm>
        <a:prstGeom prst="flowChartExtract">
          <a:avLst/>
        </a:prstGeom>
        <a:noFill/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>
                  <a:alpha val="0"/>
                </a:srgbClr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77</xdr:row>
      <xdr:rowOff>76200</xdr:rowOff>
    </xdr:from>
    <xdr:to>
      <xdr:col>17</xdr:col>
      <xdr:colOff>0</xdr:colOff>
      <xdr:row>77</xdr:row>
      <xdr:rowOff>76200</xdr:rowOff>
    </xdr:to>
    <xdr:cxnSp macro="">
      <xdr:nvCxnSpPr>
        <xdr:cNvPr id="78" name="Solver_line$R$78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CxnSpPr/>
      </xdr:nvCxnSpPr>
      <xdr:spPr bwMode="auto">
        <a:xfrm>
          <a:off x="5867400" y="14173200"/>
          <a:ext cx="121920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14</xdr:col>
      <xdr:colOff>0</xdr:colOff>
      <xdr:row>82</xdr:row>
      <xdr:rowOff>76200</xdr:rowOff>
    </xdr:from>
    <xdr:to>
      <xdr:col>15</xdr:col>
      <xdr:colOff>0</xdr:colOff>
      <xdr:row>82</xdr:row>
      <xdr:rowOff>76200</xdr:rowOff>
    </xdr:to>
    <xdr:cxnSp macro="">
      <xdr:nvCxnSpPr>
        <xdr:cNvPr id="79" name="Solver_shapecon$R$83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CxnSpPr/>
      </xdr:nvCxnSpPr>
      <xdr:spPr bwMode="auto">
        <a:xfrm>
          <a:off x="5619750" y="15087600"/>
          <a:ext cx="24765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 editAs="oneCell">
    <xdr:from>
      <xdr:col>17</xdr:col>
      <xdr:colOff>0</xdr:colOff>
      <xdr:row>82</xdr:row>
      <xdr:rowOff>0</xdr:rowOff>
    </xdr:from>
    <xdr:to>
      <xdr:col>18</xdr:col>
      <xdr:colOff>0</xdr:colOff>
      <xdr:row>83</xdr:row>
      <xdr:rowOff>0</xdr:rowOff>
    </xdr:to>
    <xdr:sp macro="" textlink="">
      <xdr:nvSpPr>
        <xdr:cNvPr id="80" name="Solver_shape$R$83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SpPr/>
      </xdr:nvSpPr>
      <xdr:spPr bwMode="auto">
        <a:xfrm rot="16200000">
          <a:off x="7086600" y="15011400"/>
          <a:ext cx="152400" cy="152400"/>
        </a:xfrm>
        <a:prstGeom prst="flowChartExtract">
          <a:avLst/>
        </a:prstGeom>
        <a:noFill/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>
                  <a:alpha val="0"/>
                </a:srgbClr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82</xdr:row>
      <xdr:rowOff>76200</xdr:rowOff>
    </xdr:from>
    <xdr:to>
      <xdr:col>17</xdr:col>
      <xdr:colOff>0</xdr:colOff>
      <xdr:row>82</xdr:row>
      <xdr:rowOff>76200</xdr:rowOff>
    </xdr:to>
    <xdr:cxnSp macro="">
      <xdr:nvCxnSpPr>
        <xdr:cNvPr id="81" name="Solver_line$R$83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CxnSpPr/>
      </xdr:nvCxnSpPr>
      <xdr:spPr bwMode="auto">
        <a:xfrm>
          <a:off x="5867400" y="15087600"/>
          <a:ext cx="121920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14</xdr:col>
      <xdr:colOff>0</xdr:colOff>
      <xdr:row>82</xdr:row>
      <xdr:rowOff>76200</xdr:rowOff>
    </xdr:from>
    <xdr:to>
      <xdr:col>15</xdr:col>
      <xdr:colOff>0</xdr:colOff>
      <xdr:row>87</xdr:row>
      <xdr:rowOff>76200</xdr:rowOff>
    </xdr:to>
    <xdr:cxnSp macro="">
      <xdr:nvCxnSpPr>
        <xdr:cNvPr id="82" name="Solver_shapecon$R$88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CxnSpPr/>
      </xdr:nvCxnSpPr>
      <xdr:spPr bwMode="auto">
        <a:xfrm>
          <a:off x="5619750" y="15087600"/>
          <a:ext cx="247650" cy="91440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 editAs="oneCell">
    <xdr:from>
      <xdr:col>17</xdr:col>
      <xdr:colOff>0</xdr:colOff>
      <xdr:row>87</xdr:row>
      <xdr:rowOff>0</xdr:rowOff>
    </xdr:from>
    <xdr:to>
      <xdr:col>18</xdr:col>
      <xdr:colOff>0</xdr:colOff>
      <xdr:row>88</xdr:row>
      <xdr:rowOff>0</xdr:rowOff>
    </xdr:to>
    <xdr:sp macro="" textlink="">
      <xdr:nvSpPr>
        <xdr:cNvPr id="83" name="Solver_shape$R$88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SpPr/>
      </xdr:nvSpPr>
      <xdr:spPr bwMode="auto">
        <a:xfrm rot="16200000">
          <a:off x="7086600" y="15925800"/>
          <a:ext cx="152400" cy="152400"/>
        </a:xfrm>
        <a:prstGeom prst="flowChartExtract">
          <a:avLst/>
        </a:prstGeom>
        <a:noFill/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>
                  <a:alpha val="0"/>
                </a:srgbClr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87</xdr:row>
      <xdr:rowOff>76200</xdr:rowOff>
    </xdr:from>
    <xdr:to>
      <xdr:col>17</xdr:col>
      <xdr:colOff>0</xdr:colOff>
      <xdr:row>87</xdr:row>
      <xdr:rowOff>76200</xdr:rowOff>
    </xdr:to>
    <xdr:cxnSp macro="">
      <xdr:nvCxnSpPr>
        <xdr:cNvPr id="84" name="Solver_line$R$88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CxnSpPr/>
      </xdr:nvCxnSpPr>
      <xdr:spPr bwMode="auto">
        <a:xfrm>
          <a:off x="5867400" y="16002000"/>
          <a:ext cx="121920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0</xdr:colOff>
      <xdr:row>67</xdr:row>
      <xdr:rowOff>76200</xdr:rowOff>
    </xdr:from>
    <xdr:to>
      <xdr:col>7</xdr:col>
      <xdr:colOff>0</xdr:colOff>
      <xdr:row>112</xdr:row>
      <xdr:rowOff>76200</xdr:rowOff>
    </xdr:to>
    <xdr:cxnSp macro="">
      <xdr:nvCxnSpPr>
        <xdr:cNvPr id="85" name="Solver_shapecon$J$113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CxnSpPr/>
      </xdr:nvCxnSpPr>
      <xdr:spPr bwMode="auto">
        <a:xfrm>
          <a:off x="2381250" y="12344400"/>
          <a:ext cx="247650" cy="822960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 editAs="oneCell">
    <xdr:from>
      <xdr:col>9</xdr:col>
      <xdr:colOff>0</xdr:colOff>
      <xdr:row>112</xdr:row>
      <xdr:rowOff>0</xdr:rowOff>
    </xdr:from>
    <xdr:to>
      <xdr:col>10</xdr:col>
      <xdr:colOff>0</xdr:colOff>
      <xdr:row>113</xdr:row>
      <xdr:rowOff>0</xdr:rowOff>
    </xdr:to>
    <xdr:sp macro="" textlink="">
      <xdr:nvSpPr>
        <xdr:cNvPr id="86" name="Solver_shape$J$113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SpPr/>
      </xdr:nvSpPr>
      <xdr:spPr bwMode="auto">
        <a:xfrm>
          <a:off x="3848100" y="20497800"/>
          <a:ext cx="152400" cy="152400"/>
        </a:xfrm>
        <a:prstGeom prst="flowChartProcess">
          <a:avLst/>
        </a:prstGeom>
        <a:noFill/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>
                  <a:alpha val="0"/>
                </a:srgbClr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112</xdr:row>
      <xdr:rowOff>76200</xdr:rowOff>
    </xdr:from>
    <xdr:to>
      <xdr:col>9</xdr:col>
      <xdr:colOff>0</xdr:colOff>
      <xdr:row>112</xdr:row>
      <xdr:rowOff>76200</xdr:rowOff>
    </xdr:to>
    <xdr:cxnSp macro="">
      <xdr:nvCxnSpPr>
        <xdr:cNvPr id="87" name="Solver_line$J$113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CxnSpPr/>
      </xdr:nvCxnSpPr>
      <xdr:spPr bwMode="auto">
        <a:xfrm>
          <a:off x="2628900" y="20574000"/>
          <a:ext cx="121920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10</xdr:col>
      <xdr:colOff>0</xdr:colOff>
      <xdr:row>97</xdr:row>
      <xdr:rowOff>76200</xdr:rowOff>
    </xdr:from>
    <xdr:to>
      <xdr:col>11</xdr:col>
      <xdr:colOff>0</xdr:colOff>
      <xdr:row>112</xdr:row>
      <xdr:rowOff>76200</xdr:rowOff>
    </xdr:to>
    <xdr:cxnSp macro="">
      <xdr:nvCxnSpPr>
        <xdr:cNvPr id="88" name="Solver_shapecon$N$98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CxnSpPr/>
      </xdr:nvCxnSpPr>
      <xdr:spPr bwMode="auto">
        <a:xfrm flipV="1">
          <a:off x="4000500" y="17830800"/>
          <a:ext cx="247650" cy="274320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 editAs="oneCell">
    <xdr:from>
      <xdr:col>13</xdr:col>
      <xdr:colOff>0</xdr:colOff>
      <xdr:row>97</xdr:row>
      <xdr:rowOff>0</xdr:rowOff>
    </xdr:from>
    <xdr:to>
      <xdr:col>14</xdr:col>
      <xdr:colOff>0</xdr:colOff>
      <xdr:row>98</xdr:row>
      <xdr:rowOff>0</xdr:rowOff>
    </xdr:to>
    <xdr:sp macro="" textlink="">
      <xdr:nvSpPr>
        <xdr:cNvPr id="89" name="Solver_shape$N$98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SpPr/>
      </xdr:nvSpPr>
      <xdr:spPr bwMode="auto">
        <a:xfrm>
          <a:off x="5467350" y="17754600"/>
          <a:ext cx="152400" cy="152400"/>
        </a:xfrm>
        <a:prstGeom prst="flowChartConnector">
          <a:avLst/>
        </a:prstGeom>
        <a:noFill/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>
                  <a:alpha val="0"/>
                </a:srgbClr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97</xdr:row>
      <xdr:rowOff>76200</xdr:rowOff>
    </xdr:from>
    <xdr:to>
      <xdr:col>13</xdr:col>
      <xdr:colOff>0</xdr:colOff>
      <xdr:row>97</xdr:row>
      <xdr:rowOff>76200</xdr:rowOff>
    </xdr:to>
    <xdr:cxnSp macro="">
      <xdr:nvCxnSpPr>
        <xdr:cNvPr id="90" name="Solver_line$N$98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CxnSpPr/>
      </xdr:nvCxnSpPr>
      <xdr:spPr bwMode="auto">
        <a:xfrm>
          <a:off x="4248150" y="17830800"/>
          <a:ext cx="121920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14</xdr:col>
      <xdr:colOff>0</xdr:colOff>
      <xdr:row>92</xdr:row>
      <xdr:rowOff>76200</xdr:rowOff>
    </xdr:from>
    <xdr:to>
      <xdr:col>15</xdr:col>
      <xdr:colOff>0</xdr:colOff>
      <xdr:row>97</xdr:row>
      <xdr:rowOff>76200</xdr:rowOff>
    </xdr:to>
    <xdr:cxnSp macro="">
      <xdr:nvCxnSpPr>
        <xdr:cNvPr id="91" name="Solver_shapecon$R$93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CxnSpPr/>
      </xdr:nvCxnSpPr>
      <xdr:spPr bwMode="auto">
        <a:xfrm flipV="1">
          <a:off x="5619750" y="16916400"/>
          <a:ext cx="247650" cy="91440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 editAs="oneCell">
    <xdr:from>
      <xdr:col>17</xdr:col>
      <xdr:colOff>0</xdr:colOff>
      <xdr:row>92</xdr:row>
      <xdr:rowOff>0</xdr:rowOff>
    </xdr:from>
    <xdr:to>
      <xdr:col>18</xdr:col>
      <xdr:colOff>0</xdr:colOff>
      <xdr:row>93</xdr:row>
      <xdr:rowOff>0</xdr:rowOff>
    </xdr:to>
    <xdr:sp macro="" textlink="">
      <xdr:nvSpPr>
        <xdr:cNvPr id="92" name="Solver_shape$R$93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SpPr/>
      </xdr:nvSpPr>
      <xdr:spPr bwMode="auto">
        <a:xfrm rot="16200000">
          <a:off x="7086600" y="16840200"/>
          <a:ext cx="152400" cy="152400"/>
        </a:xfrm>
        <a:prstGeom prst="flowChartExtract">
          <a:avLst/>
        </a:prstGeom>
        <a:noFill/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>
                  <a:alpha val="0"/>
                </a:srgbClr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92</xdr:row>
      <xdr:rowOff>76200</xdr:rowOff>
    </xdr:from>
    <xdr:to>
      <xdr:col>17</xdr:col>
      <xdr:colOff>0</xdr:colOff>
      <xdr:row>92</xdr:row>
      <xdr:rowOff>76200</xdr:rowOff>
    </xdr:to>
    <xdr:cxnSp macro="">
      <xdr:nvCxnSpPr>
        <xdr:cNvPr id="93" name="Solver_line$R$93"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CxnSpPr/>
      </xdr:nvCxnSpPr>
      <xdr:spPr bwMode="auto">
        <a:xfrm>
          <a:off x="5867400" y="16916400"/>
          <a:ext cx="121920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14</xdr:col>
      <xdr:colOff>0</xdr:colOff>
      <xdr:row>97</xdr:row>
      <xdr:rowOff>76200</xdr:rowOff>
    </xdr:from>
    <xdr:to>
      <xdr:col>15</xdr:col>
      <xdr:colOff>0</xdr:colOff>
      <xdr:row>97</xdr:row>
      <xdr:rowOff>76200</xdr:rowOff>
    </xdr:to>
    <xdr:cxnSp macro="">
      <xdr:nvCxnSpPr>
        <xdr:cNvPr id="94" name="Solver_shapecon$R$98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CxnSpPr/>
      </xdr:nvCxnSpPr>
      <xdr:spPr bwMode="auto">
        <a:xfrm>
          <a:off x="5619750" y="17830800"/>
          <a:ext cx="24765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 editAs="oneCell">
    <xdr:from>
      <xdr:col>17</xdr:col>
      <xdr:colOff>0</xdr:colOff>
      <xdr:row>97</xdr:row>
      <xdr:rowOff>0</xdr:rowOff>
    </xdr:from>
    <xdr:to>
      <xdr:col>18</xdr:col>
      <xdr:colOff>0</xdr:colOff>
      <xdr:row>98</xdr:row>
      <xdr:rowOff>0</xdr:rowOff>
    </xdr:to>
    <xdr:sp macro="" textlink="">
      <xdr:nvSpPr>
        <xdr:cNvPr id="95" name="Solver_shape$R$98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SpPr/>
      </xdr:nvSpPr>
      <xdr:spPr bwMode="auto">
        <a:xfrm rot="16200000">
          <a:off x="7086600" y="17754600"/>
          <a:ext cx="152400" cy="152400"/>
        </a:xfrm>
        <a:prstGeom prst="flowChartExtract">
          <a:avLst/>
        </a:prstGeom>
        <a:noFill/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>
                  <a:alpha val="0"/>
                </a:srgbClr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97</xdr:row>
      <xdr:rowOff>76200</xdr:rowOff>
    </xdr:from>
    <xdr:to>
      <xdr:col>17</xdr:col>
      <xdr:colOff>0</xdr:colOff>
      <xdr:row>97</xdr:row>
      <xdr:rowOff>76200</xdr:rowOff>
    </xdr:to>
    <xdr:cxnSp macro="">
      <xdr:nvCxnSpPr>
        <xdr:cNvPr id="96" name="Solver_line$R$98"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CxnSpPr/>
      </xdr:nvCxnSpPr>
      <xdr:spPr bwMode="auto">
        <a:xfrm>
          <a:off x="5867400" y="17830800"/>
          <a:ext cx="121920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14</xdr:col>
      <xdr:colOff>0</xdr:colOff>
      <xdr:row>97</xdr:row>
      <xdr:rowOff>76200</xdr:rowOff>
    </xdr:from>
    <xdr:to>
      <xdr:col>15</xdr:col>
      <xdr:colOff>0</xdr:colOff>
      <xdr:row>102</xdr:row>
      <xdr:rowOff>76200</xdr:rowOff>
    </xdr:to>
    <xdr:cxnSp macro="">
      <xdr:nvCxnSpPr>
        <xdr:cNvPr id="97" name="Solver_shapecon$R$103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CxnSpPr/>
      </xdr:nvCxnSpPr>
      <xdr:spPr bwMode="auto">
        <a:xfrm>
          <a:off x="5619750" y="17830800"/>
          <a:ext cx="247650" cy="91440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 editAs="oneCell">
    <xdr:from>
      <xdr:col>17</xdr:col>
      <xdr:colOff>0</xdr:colOff>
      <xdr:row>102</xdr:row>
      <xdr:rowOff>0</xdr:rowOff>
    </xdr:from>
    <xdr:to>
      <xdr:col>18</xdr:col>
      <xdr:colOff>0</xdr:colOff>
      <xdr:row>103</xdr:row>
      <xdr:rowOff>0</xdr:rowOff>
    </xdr:to>
    <xdr:sp macro="" textlink="">
      <xdr:nvSpPr>
        <xdr:cNvPr id="98" name="Solver_shape$R$103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SpPr/>
      </xdr:nvSpPr>
      <xdr:spPr bwMode="auto">
        <a:xfrm rot="16200000">
          <a:off x="7086600" y="18669000"/>
          <a:ext cx="152400" cy="152400"/>
        </a:xfrm>
        <a:prstGeom prst="flowChartExtract">
          <a:avLst/>
        </a:prstGeom>
        <a:noFill/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>
                  <a:alpha val="0"/>
                </a:srgbClr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102</xdr:row>
      <xdr:rowOff>76200</xdr:rowOff>
    </xdr:from>
    <xdr:to>
      <xdr:col>17</xdr:col>
      <xdr:colOff>0</xdr:colOff>
      <xdr:row>102</xdr:row>
      <xdr:rowOff>76200</xdr:rowOff>
    </xdr:to>
    <xdr:cxnSp macro="">
      <xdr:nvCxnSpPr>
        <xdr:cNvPr id="99" name="Solver_line$R$103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CxnSpPr/>
      </xdr:nvCxnSpPr>
      <xdr:spPr bwMode="auto">
        <a:xfrm>
          <a:off x="5867400" y="18745200"/>
          <a:ext cx="121920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10</xdr:col>
      <xdr:colOff>0</xdr:colOff>
      <xdr:row>112</xdr:row>
      <xdr:rowOff>76200</xdr:rowOff>
    </xdr:from>
    <xdr:to>
      <xdr:col>11</xdr:col>
      <xdr:colOff>0</xdr:colOff>
      <xdr:row>112</xdr:row>
      <xdr:rowOff>76200</xdr:rowOff>
    </xdr:to>
    <xdr:cxnSp macro="">
      <xdr:nvCxnSpPr>
        <xdr:cNvPr id="100" name="Solver_shapecon$N$113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CxnSpPr/>
      </xdr:nvCxnSpPr>
      <xdr:spPr bwMode="auto">
        <a:xfrm>
          <a:off x="4000500" y="20574000"/>
          <a:ext cx="24765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 editAs="oneCell">
    <xdr:from>
      <xdr:col>13</xdr:col>
      <xdr:colOff>0</xdr:colOff>
      <xdr:row>112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01" name="Solver_shape$N$113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SpPr/>
      </xdr:nvSpPr>
      <xdr:spPr bwMode="auto">
        <a:xfrm>
          <a:off x="5467350" y="20497800"/>
          <a:ext cx="152400" cy="152400"/>
        </a:xfrm>
        <a:prstGeom prst="flowChartConnector">
          <a:avLst/>
        </a:prstGeom>
        <a:noFill/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>
                  <a:alpha val="0"/>
                </a:srgbClr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112</xdr:row>
      <xdr:rowOff>76200</xdr:rowOff>
    </xdr:from>
    <xdr:to>
      <xdr:col>13</xdr:col>
      <xdr:colOff>0</xdr:colOff>
      <xdr:row>112</xdr:row>
      <xdr:rowOff>76200</xdr:rowOff>
    </xdr:to>
    <xdr:cxnSp macro="">
      <xdr:nvCxnSpPr>
        <xdr:cNvPr id="102" name="Solver_line$N$113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CxnSpPr/>
      </xdr:nvCxnSpPr>
      <xdr:spPr bwMode="auto">
        <a:xfrm>
          <a:off x="4248150" y="20574000"/>
          <a:ext cx="121920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14</xdr:col>
      <xdr:colOff>0</xdr:colOff>
      <xdr:row>107</xdr:row>
      <xdr:rowOff>76200</xdr:rowOff>
    </xdr:from>
    <xdr:to>
      <xdr:col>15</xdr:col>
      <xdr:colOff>0</xdr:colOff>
      <xdr:row>112</xdr:row>
      <xdr:rowOff>76200</xdr:rowOff>
    </xdr:to>
    <xdr:cxnSp macro="">
      <xdr:nvCxnSpPr>
        <xdr:cNvPr id="103" name="Solver_shapecon$R$108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CxnSpPr/>
      </xdr:nvCxnSpPr>
      <xdr:spPr bwMode="auto">
        <a:xfrm flipV="1">
          <a:off x="5619750" y="19659600"/>
          <a:ext cx="247650" cy="91440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 editAs="oneCell">
    <xdr:from>
      <xdr:col>17</xdr:col>
      <xdr:colOff>0</xdr:colOff>
      <xdr:row>107</xdr:row>
      <xdr:rowOff>0</xdr:rowOff>
    </xdr:from>
    <xdr:to>
      <xdr:col>18</xdr:col>
      <xdr:colOff>0</xdr:colOff>
      <xdr:row>108</xdr:row>
      <xdr:rowOff>0</xdr:rowOff>
    </xdr:to>
    <xdr:sp macro="" textlink="">
      <xdr:nvSpPr>
        <xdr:cNvPr id="104" name="Solver_shape$R$108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SpPr/>
      </xdr:nvSpPr>
      <xdr:spPr bwMode="auto">
        <a:xfrm rot="16200000">
          <a:off x="7086600" y="19583400"/>
          <a:ext cx="152400" cy="152400"/>
        </a:xfrm>
        <a:prstGeom prst="flowChartExtract">
          <a:avLst/>
        </a:prstGeom>
        <a:noFill/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>
                  <a:alpha val="0"/>
                </a:srgbClr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107</xdr:row>
      <xdr:rowOff>76200</xdr:rowOff>
    </xdr:from>
    <xdr:to>
      <xdr:col>17</xdr:col>
      <xdr:colOff>0</xdr:colOff>
      <xdr:row>107</xdr:row>
      <xdr:rowOff>76200</xdr:rowOff>
    </xdr:to>
    <xdr:cxnSp macro="">
      <xdr:nvCxnSpPr>
        <xdr:cNvPr id="105" name="Solver_line$R$108"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CxnSpPr/>
      </xdr:nvCxnSpPr>
      <xdr:spPr bwMode="auto">
        <a:xfrm>
          <a:off x="5867400" y="19659600"/>
          <a:ext cx="121920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14</xdr:col>
      <xdr:colOff>0</xdr:colOff>
      <xdr:row>112</xdr:row>
      <xdr:rowOff>76200</xdr:rowOff>
    </xdr:from>
    <xdr:to>
      <xdr:col>15</xdr:col>
      <xdr:colOff>0</xdr:colOff>
      <xdr:row>112</xdr:row>
      <xdr:rowOff>76200</xdr:rowOff>
    </xdr:to>
    <xdr:cxnSp macro="">
      <xdr:nvCxnSpPr>
        <xdr:cNvPr id="106" name="Solver_shapecon$R$113"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CxnSpPr/>
      </xdr:nvCxnSpPr>
      <xdr:spPr bwMode="auto">
        <a:xfrm>
          <a:off x="5619750" y="20574000"/>
          <a:ext cx="24765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 editAs="oneCell">
    <xdr:from>
      <xdr:col>17</xdr:col>
      <xdr:colOff>0</xdr:colOff>
      <xdr:row>112</xdr:row>
      <xdr:rowOff>0</xdr:rowOff>
    </xdr:from>
    <xdr:to>
      <xdr:col>18</xdr:col>
      <xdr:colOff>0</xdr:colOff>
      <xdr:row>113</xdr:row>
      <xdr:rowOff>0</xdr:rowOff>
    </xdr:to>
    <xdr:sp macro="" textlink="">
      <xdr:nvSpPr>
        <xdr:cNvPr id="107" name="Solver_shape$R$113"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SpPr/>
      </xdr:nvSpPr>
      <xdr:spPr bwMode="auto">
        <a:xfrm rot="16200000">
          <a:off x="7086600" y="20497800"/>
          <a:ext cx="152400" cy="152400"/>
        </a:xfrm>
        <a:prstGeom prst="flowChartExtract">
          <a:avLst/>
        </a:prstGeom>
        <a:noFill/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>
                  <a:alpha val="0"/>
                </a:srgbClr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112</xdr:row>
      <xdr:rowOff>76200</xdr:rowOff>
    </xdr:from>
    <xdr:to>
      <xdr:col>17</xdr:col>
      <xdr:colOff>0</xdr:colOff>
      <xdr:row>112</xdr:row>
      <xdr:rowOff>76200</xdr:rowOff>
    </xdr:to>
    <xdr:cxnSp macro="">
      <xdr:nvCxnSpPr>
        <xdr:cNvPr id="108" name="Solver_line$R$113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CxnSpPr/>
      </xdr:nvCxnSpPr>
      <xdr:spPr bwMode="auto">
        <a:xfrm>
          <a:off x="5867400" y="20574000"/>
          <a:ext cx="121920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14</xdr:col>
      <xdr:colOff>0</xdr:colOff>
      <xdr:row>112</xdr:row>
      <xdr:rowOff>76200</xdr:rowOff>
    </xdr:from>
    <xdr:to>
      <xdr:col>15</xdr:col>
      <xdr:colOff>0</xdr:colOff>
      <xdr:row>117</xdr:row>
      <xdr:rowOff>76200</xdr:rowOff>
    </xdr:to>
    <xdr:cxnSp macro="">
      <xdr:nvCxnSpPr>
        <xdr:cNvPr id="109" name="Solver_shapecon$R$118"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CxnSpPr/>
      </xdr:nvCxnSpPr>
      <xdr:spPr bwMode="auto">
        <a:xfrm>
          <a:off x="5619750" y="20574000"/>
          <a:ext cx="247650" cy="91440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 editAs="oneCell">
    <xdr:from>
      <xdr:col>17</xdr:col>
      <xdr:colOff>0</xdr:colOff>
      <xdr:row>117</xdr:row>
      <xdr:rowOff>0</xdr:rowOff>
    </xdr:from>
    <xdr:to>
      <xdr:col>18</xdr:col>
      <xdr:colOff>0</xdr:colOff>
      <xdr:row>118</xdr:row>
      <xdr:rowOff>0</xdr:rowOff>
    </xdr:to>
    <xdr:sp macro="" textlink="">
      <xdr:nvSpPr>
        <xdr:cNvPr id="110" name="Solver_shape$R$118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SpPr/>
      </xdr:nvSpPr>
      <xdr:spPr bwMode="auto">
        <a:xfrm rot="16200000">
          <a:off x="7086600" y="21412200"/>
          <a:ext cx="152400" cy="152400"/>
        </a:xfrm>
        <a:prstGeom prst="flowChartExtract">
          <a:avLst/>
        </a:prstGeom>
        <a:noFill/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>
                  <a:alpha val="0"/>
                </a:srgbClr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117</xdr:row>
      <xdr:rowOff>76200</xdr:rowOff>
    </xdr:from>
    <xdr:to>
      <xdr:col>17</xdr:col>
      <xdr:colOff>0</xdr:colOff>
      <xdr:row>117</xdr:row>
      <xdr:rowOff>76200</xdr:rowOff>
    </xdr:to>
    <xdr:cxnSp macro="">
      <xdr:nvCxnSpPr>
        <xdr:cNvPr id="111" name="Solver_line$R$118"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CxnSpPr/>
      </xdr:nvCxnSpPr>
      <xdr:spPr bwMode="auto">
        <a:xfrm>
          <a:off x="5867400" y="21488400"/>
          <a:ext cx="121920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10</xdr:col>
      <xdr:colOff>0</xdr:colOff>
      <xdr:row>112</xdr:row>
      <xdr:rowOff>76200</xdr:rowOff>
    </xdr:from>
    <xdr:to>
      <xdr:col>11</xdr:col>
      <xdr:colOff>0</xdr:colOff>
      <xdr:row>127</xdr:row>
      <xdr:rowOff>76200</xdr:rowOff>
    </xdr:to>
    <xdr:cxnSp macro="">
      <xdr:nvCxnSpPr>
        <xdr:cNvPr id="112" name="Solver_shapecon$N$128"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CxnSpPr/>
      </xdr:nvCxnSpPr>
      <xdr:spPr bwMode="auto">
        <a:xfrm>
          <a:off x="4000500" y="20574000"/>
          <a:ext cx="247650" cy="274320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 editAs="oneCell">
    <xdr:from>
      <xdr:col>13</xdr:col>
      <xdr:colOff>0</xdr:colOff>
      <xdr:row>127</xdr:row>
      <xdr:rowOff>0</xdr:rowOff>
    </xdr:from>
    <xdr:to>
      <xdr:col>14</xdr:col>
      <xdr:colOff>0</xdr:colOff>
      <xdr:row>128</xdr:row>
      <xdr:rowOff>0</xdr:rowOff>
    </xdr:to>
    <xdr:sp macro="" textlink="">
      <xdr:nvSpPr>
        <xdr:cNvPr id="113" name="Solver_shape$N$128"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SpPr/>
      </xdr:nvSpPr>
      <xdr:spPr bwMode="auto">
        <a:xfrm>
          <a:off x="5467350" y="23241000"/>
          <a:ext cx="152400" cy="152400"/>
        </a:xfrm>
        <a:prstGeom prst="flowChartConnector">
          <a:avLst/>
        </a:prstGeom>
        <a:noFill/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>
                  <a:alpha val="0"/>
                </a:srgbClr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127</xdr:row>
      <xdr:rowOff>76200</xdr:rowOff>
    </xdr:from>
    <xdr:to>
      <xdr:col>13</xdr:col>
      <xdr:colOff>0</xdr:colOff>
      <xdr:row>127</xdr:row>
      <xdr:rowOff>76200</xdr:rowOff>
    </xdr:to>
    <xdr:cxnSp macro="">
      <xdr:nvCxnSpPr>
        <xdr:cNvPr id="114" name="Solver_line$N$128"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CxnSpPr/>
      </xdr:nvCxnSpPr>
      <xdr:spPr bwMode="auto">
        <a:xfrm>
          <a:off x="4248150" y="23317200"/>
          <a:ext cx="121920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14</xdr:col>
      <xdr:colOff>0</xdr:colOff>
      <xdr:row>122</xdr:row>
      <xdr:rowOff>76200</xdr:rowOff>
    </xdr:from>
    <xdr:to>
      <xdr:col>15</xdr:col>
      <xdr:colOff>0</xdr:colOff>
      <xdr:row>127</xdr:row>
      <xdr:rowOff>76200</xdr:rowOff>
    </xdr:to>
    <xdr:cxnSp macro="">
      <xdr:nvCxnSpPr>
        <xdr:cNvPr id="115" name="Solver_shapecon$R$123"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CxnSpPr/>
      </xdr:nvCxnSpPr>
      <xdr:spPr bwMode="auto">
        <a:xfrm flipV="1">
          <a:off x="5619750" y="22402800"/>
          <a:ext cx="247650" cy="91440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 editAs="oneCell">
    <xdr:from>
      <xdr:col>17</xdr:col>
      <xdr:colOff>0</xdr:colOff>
      <xdr:row>122</xdr:row>
      <xdr:rowOff>0</xdr:rowOff>
    </xdr:from>
    <xdr:to>
      <xdr:col>18</xdr:col>
      <xdr:colOff>0</xdr:colOff>
      <xdr:row>123</xdr:row>
      <xdr:rowOff>0</xdr:rowOff>
    </xdr:to>
    <xdr:sp macro="" textlink="">
      <xdr:nvSpPr>
        <xdr:cNvPr id="116" name="Solver_shape$R$123"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SpPr/>
      </xdr:nvSpPr>
      <xdr:spPr bwMode="auto">
        <a:xfrm rot="16200000">
          <a:off x="7086600" y="22326600"/>
          <a:ext cx="152400" cy="152400"/>
        </a:xfrm>
        <a:prstGeom prst="flowChartExtract">
          <a:avLst/>
        </a:prstGeom>
        <a:noFill/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>
                  <a:alpha val="0"/>
                </a:srgbClr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122</xdr:row>
      <xdr:rowOff>76200</xdr:rowOff>
    </xdr:from>
    <xdr:to>
      <xdr:col>17</xdr:col>
      <xdr:colOff>0</xdr:colOff>
      <xdr:row>122</xdr:row>
      <xdr:rowOff>76200</xdr:rowOff>
    </xdr:to>
    <xdr:cxnSp macro="">
      <xdr:nvCxnSpPr>
        <xdr:cNvPr id="117" name="Solver_line$R$123">
          <a:extLst>
            <a:ext uri="{FF2B5EF4-FFF2-40B4-BE49-F238E27FC236}">
              <a16:creationId xmlns:a16="http://schemas.microsoft.com/office/drawing/2014/main" id="{00000000-0008-0000-0200-000075000000}"/>
            </a:ext>
          </a:extLst>
        </xdr:cNvPr>
        <xdr:cNvCxnSpPr/>
      </xdr:nvCxnSpPr>
      <xdr:spPr bwMode="auto">
        <a:xfrm>
          <a:off x="5867400" y="22402800"/>
          <a:ext cx="121920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14</xdr:col>
      <xdr:colOff>0</xdr:colOff>
      <xdr:row>127</xdr:row>
      <xdr:rowOff>76200</xdr:rowOff>
    </xdr:from>
    <xdr:to>
      <xdr:col>15</xdr:col>
      <xdr:colOff>0</xdr:colOff>
      <xdr:row>127</xdr:row>
      <xdr:rowOff>76200</xdr:rowOff>
    </xdr:to>
    <xdr:cxnSp macro="">
      <xdr:nvCxnSpPr>
        <xdr:cNvPr id="118" name="Solver_shapecon$R$128">
          <a:extLst>
            <a:ext uri="{FF2B5EF4-FFF2-40B4-BE49-F238E27FC236}">
              <a16:creationId xmlns:a16="http://schemas.microsoft.com/office/drawing/2014/main" id="{00000000-0008-0000-0200-000076000000}"/>
            </a:ext>
          </a:extLst>
        </xdr:cNvPr>
        <xdr:cNvCxnSpPr/>
      </xdr:nvCxnSpPr>
      <xdr:spPr bwMode="auto">
        <a:xfrm>
          <a:off x="5619750" y="23317200"/>
          <a:ext cx="24765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 editAs="oneCell">
    <xdr:from>
      <xdr:col>17</xdr:col>
      <xdr:colOff>0</xdr:colOff>
      <xdr:row>127</xdr:row>
      <xdr:rowOff>0</xdr:rowOff>
    </xdr:from>
    <xdr:to>
      <xdr:col>18</xdr:col>
      <xdr:colOff>0</xdr:colOff>
      <xdr:row>128</xdr:row>
      <xdr:rowOff>0</xdr:rowOff>
    </xdr:to>
    <xdr:sp macro="" textlink="">
      <xdr:nvSpPr>
        <xdr:cNvPr id="119" name="Solver_shape$R$128">
          <a:extLst>
            <a:ext uri="{FF2B5EF4-FFF2-40B4-BE49-F238E27FC236}">
              <a16:creationId xmlns:a16="http://schemas.microsoft.com/office/drawing/2014/main" id="{00000000-0008-0000-0200-000077000000}"/>
            </a:ext>
          </a:extLst>
        </xdr:cNvPr>
        <xdr:cNvSpPr/>
      </xdr:nvSpPr>
      <xdr:spPr bwMode="auto">
        <a:xfrm rot="16200000">
          <a:off x="7086600" y="23241000"/>
          <a:ext cx="152400" cy="152400"/>
        </a:xfrm>
        <a:prstGeom prst="flowChartExtract">
          <a:avLst/>
        </a:prstGeom>
        <a:noFill/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>
                  <a:alpha val="0"/>
                </a:srgbClr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127</xdr:row>
      <xdr:rowOff>76200</xdr:rowOff>
    </xdr:from>
    <xdr:to>
      <xdr:col>17</xdr:col>
      <xdr:colOff>0</xdr:colOff>
      <xdr:row>127</xdr:row>
      <xdr:rowOff>76200</xdr:rowOff>
    </xdr:to>
    <xdr:cxnSp macro="">
      <xdr:nvCxnSpPr>
        <xdr:cNvPr id="120" name="Solver_line$R$128">
          <a:extLst>
            <a:ext uri="{FF2B5EF4-FFF2-40B4-BE49-F238E27FC236}">
              <a16:creationId xmlns:a16="http://schemas.microsoft.com/office/drawing/2014/main" id="{00000000-0008-0000-0200-000078000000}"/>
            </a:ext>
          </a:extLst>
        </xdr:cNvPr>
        <xdr:cNvCxnSpPr/>
      </xdr:nvCxnSpPr>
      <xdr:spPr bwMode="auto">
        <a:xfrm>
          <a:off x="5867400" y="23317200"/>
          <a:ext cx="121920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14</xdr:col>
      <xdr:colOff>0</xdr:colOff>
      <xdr:row>127</xdr:row>
      <xdr:rowOff>76200</xdr:rowOff>
    </xdr:from>
    <xdr:to>
      <xdr:col>15</xdr:col>
      <xdr:colOff>0</xdr:colOff>
      <xdr:row>132</xdr:row>
      <xdr:rowOff>76200</xdr:rowOff>
    </xdr:to>
    <xdr:cxnSp macro="">
      <xdr:nvCxnSpPr>
        <xdr:cNvPr id="121" name="Solver_shapecon$R$133">
          <a:extLst>
            <a:ext uri="{FF2B5EF4-FFF2-40B4-BE49-F238E27FC236}">
              <a16:creationId xmlns:a16="http://schemas.microsoft.com/office/drawing/2014/main" id="{00000000-0008-0000-0200-000079000000}"/>
            </a:ext>
          </a:extLst>
        </xdr:cNvPr>
        <xdr:cNvCxnSpPr/>
      </xdr:nvCxnSpPr>
      <xdr:spPr bwMode="auto">
        <a:xfrm>
          <a:off x="5619750" y="23317200"/>
          <a:ext cx="247650" cy="91440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 editAs="oneCell">
    <xdr:from>
      <xdr:col>17</xdr:col>
      <xdr:colOff>0</xdr:colOff>
      <xdr:row>132</xdr:row>
      <xdr:rowOff>0</xdr:rowOff>
    </xdr:from>
    <xdr:to>
      <xdr:col>18</xdr:col>
      <xdr:colOff>0</xdr:colOff>
      <xdr:row>133</xdr:row>
      <xdr:rowOff>0</xdr:rowOff>
    </xdr:to>
    <xdr:sp macro="" textlink="">
      <xdr:nvSpPr>
        <xdr:cNvPr id="122" name="Solver_shape$R$133">
          <a:extLst>
            <a:ext uri="{FF2B5EF4-FFF2-40B4-BE49-F238E27FC236}">
              <a16:creationId xmlns:a16="http://schemas.microsoft.com/office/drawing/2014/main" id="{00000000-0008-0000-0200-00007A000000}"/>
            </a:ext>
          </a:extLst>
        </xdr:cNvPr>
        <xdr:cNvSpPr/>
      </xdr:nvSpPr>
      <xdr:spPr bwMode="auto">
        <a:xfrm rot="16200000">
          <a:off x="7086600" y="24155400"/>
          <a:ext cx="152400" cy="152400"/>
        </a:xfrm>
        <a:prstGeom prst="flowChartExtract">
          <a:avLst/>
        </a:prstGeom>
        <a:noFill/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>
                  <a:alpha val="0"/>
                </a:srgbClr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132</xdr:row>
      <xdr:rowOff>76200</xdr:rowOff>
    </xdr:from>
    <xdr:to>
      <xdr:col>17</xdr:col>
      <xdr:colOff>0</xdr:colOff>
      <xdr:row>132</xdr:row>
      <xdr:rowOff>76200</xdr:rowOff>
    </xdr:to>
    <xdr:cxnSp macro="">
      <xdr:nvCxnSpPr>
        <xdr:cNvPr id="123" name="Solver_line$R$133">
          <a:extLst>
            <a:ext uri="{FF2B5EF4-FFF2-40B4-BE49-F238E27FC236}">
              <a16:creationId xmlns:a16="http://schemas.microsoft.com/office/drawing/2014/main" id="{00000000-0008-0000-0200-00007B000000}"/>
            </a:ext>
          </a:extLst>
        </xdr:cNvPr>
        <xdr:cNvCxnSpPr/>
      </xdr:nvCxnSpPr>
      <xdr:spPr bwMode="auto">
        <a:xfrm>
          <a:off x="5867400" y="24231600"/>
          <a:ext cx="121920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  <wetp:taskpane dockstate="right" visibility="0" width="438" row="5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CD5934B9-6015-434A-AB4A-702A5379385C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729ecc77-350c-4e90-a2d9-b1f7fa28caad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20A9763D-C4A4-45EF-9180-BAE1B1C789F3}">
  <we:reference id="wa200005502" version="1.0.0.13" store="en-US" storeType="OMEX"/>
  <we:alternateReferences>
    <we:reference id="WA200005502" version="1.0.0.13" store="" storeType="OMEX"/>
  </we:alternateReferences>
  <we:properties>
    <we:property name="docId" value="&quot;WDOBDSCJqN5cenFaaiY6N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758B2-D1F2-45AB-9EAC-CE44B915AB16}">
  <dimension ref="A1:E58"/>
  <sheetViews>
    <sheetView topLeftCell="A43" workbookViewId="0">
      <selection activeCell="G6" sqref="G6"/>
    </sheetView>
  </sheetViews>
  <sheetFormatPr defaultRowHeight="14.4" x14ac:dyDescent="0.3"/>
  <cols>
    <col min="1" max="1" width="53.44140625" bestFit="1" customWidth="1"/>
    <col min="2" max="4" width="14.77734375" customWidth="1"/>
    <col min="5" max="5" width="20.33203125" customWidth="1"/>
  </cols>
  <sheetData>
    <row r="1" spans="1:5" ht="18" x14ac:dyDescent="0.35">
      <c r="A1" s="67" t="s">
        <v>20</v>
      </c>
    </row>
    <row r="3" spans="1:5" ht="15.6" x14ac:dyDescent="0.3">
      <c r="A3" s="11" t="s">
        <v>21</v>
      </c>
    </row>
    <row r="4" spans="1:5" x14ac:dyDescent="0.3">
      <c r="A4" s="18" t="s">
        <v>22</v>
      </c>
      <c r="B4" s="19" t="s">
        <v>2</v>
      </c>
      <c r="C4" s="19" t="s">
        <v>3</v>
      </c>
      <c r="D4" s="19" t="s">
        <v>4</v>
      </c>
    </row>
    <row r="5" spans="1:5" x14ac:dyDescent="0.3">
      <c r="A5" s="20" t="s">
        <v>23</v>
      </c>
      <c r="B5" s="21">
        <v>400</v>
      </c>
      <c r="C5" s="21">
        <v>400</v>
      </c>
      <c r="D5" s="21">
        <v>400</v>
      </c>
    </row>
    <row r="6" spans="1:5" x14ac:dyDescent="0.3">
      <c r="A6" s="20" t="s">
        <v>3</v>
      </c>
      <c r="B6" s="21">
        <v>200</v>
      </c>
      <c r="C6" s="21">
        <v>500</v>
      </c>
      <c r="D6" s="21">
        <v>500</v>
      </c>
    </row>
    <row r="7" spans="1:5" x14ac:dyDescent="0.3">
      <c r="A7" s="20" t="s">
        <v>24</v>
      </c>
      <c r="B7" s="21">
        <v>-400</v>
      </c>
      <c r="C7" s="21">
        <v>300</v>
      </c>
      <c r="D7" s="21">
        <v>800</v>
      </c>
    </row>
    <row r="9" spans="1:5" x14ac:dyDescent="0.3">
      <c r="A9" s="12" t="s">
        <v>25</v>
      </c>
      <c r="B9" s="13">
        <v>0.2175</v>
      </c>
      <c r="C9" s="13">
        <v>0.35499999999999998</v>
      </c>
      <c r="D9" s="13">
        <v>0.42749999999999999</v>
      </c>
    </row>
    <row r="11" spans="1:5" ht="15.6" x14ac:dyDescent="0.3">
      <c r="A11" s="54" t="s">
        <v>64</v>
      </c>
      <c r="B11" s="43"/>
      <c r="C11" s="43"/>
      <c r="D11" s="43"/>
      <c r="E11" s="43"/>
    </row>
    <row r="12" spans="1:5" x14ac:dyDescent="0.3">
      <c r="A12" s="51" t="s">
        <v>22</v>
      </c>
      <c r="B12" s="52" t="s">
        <v>2</v>
      </c>
      <c r="C12" s="52" t="s">
        <v>3</v>
      </c>
      <c r="D12" s="52" t="s">
        <v>4</v>
      </c>
      <c r="E12" s="53" t="s">
        <v>30</v>
      </c>
    </row>
    <row r="13" spans="1:5" x14ac:dyDescent="0.3">
      <c r="A13" s="20" t="s">
        <v>23</v>
      </c>
      <c r="B13" s="21">
        <f t="shared" ref="B13:D15" si="0">B5</f>
        <v>400</v>
      </c>
      <c r="C13" s="21">
        <f t="shared" si="0"/>
        <v>400</v>
      </c>
      <c r="D13" s="21">
        <f t="shared" si="0"/>
        <v>400</v>
      </c>
      <c r="E13" s="23">
        <f>MIN(B13:D13)</f>
        <v>400</v>
      </c>
    </row>
    <row r="14" spans="1:5" x14ac:dyDescent="0.3">
      <c r="A14" s="20" t="s">
        <v>3</v>
      </c>
      <c r="B14" s="21">
        <f t="shared" si="0"/>
        <v>200</v>
      </c>
      <c r="C14" s="21">
        <f t="shared" si="0"/>
        <v>500</v>
      </c>
      <c r="D14" s="21">
        <f t="shared" si="0"/>
        <v>500</v>
      </c>
      <c r="E14" s="23">
        <f>MIN(B14:D14)</f>
        <v>200</v>
      </c>
    </row>
    <row r="15" spans="1:5" x14ac:dyDescent="0.3">
      <c r="A15" s="55" t="s">
        <v>24</v>
      </c>
      <c r="B15" s="56">
        <f t="shared" si="0"/>
        <v>-400</v>
      </c>
      <c r="C15" s="56">
        <f t="shared" si="0"/>
        <v>300</v>
      </c>
      <c r="D15" s="56">
        <f t="shared" si="0"/>
        <v>800</v>
      </c>
      <c r="E15" s="57">
        <f>MIN(B15:D15)</f>
        <v>-400</v>
      </c>
    </row>
    <row r="16" spans="1:5" x14ac:dyDescent="0.3">
      <c r="A16" s="41"/>
      <c r="B16" s="41"/>
      <c r="C16" s="41"/>
      <c r="D16" s="41"/>
      <c r="E16" s="41"/>
    </row>
    <row r="17" spans="1:5" x14ac:dyDescent="0.3">
      <c r="A17" s="12" t="s">
        <v>27</v>
      </c>
      <c r="B17" s="14" t="str">
        <f>INDEX(A13:A15,MATCH(MAX(E13:E15),E13:E15,0))</f>
        <v>Small</v>
      </c>
      <c r="C17" s="15" t="s">
        <v>31</v>
      </c>
    </row>
    <row r="18" spans="1:5" x14ac:dyDescent="0.3">
      <c r="A18" s="12" t="s">
        <v>32</v>
      </c>
      <c r="B18" s="14">
        <f>MAX(E13:E15)</f>
        <v>400</v>
      </c>
    </row>
    <row r="20" spans="1:5" ht="15.6" x14ac:dyDescent="0.3">
      <c r="A20" s="54" t="s">
        <v>65</v>
      </c>
      <c r="B20" s="43"/>
      <c r="C20" s="43"/>
      <c r="D20" s="43"/>
      <c r="E20" s="43"/>
    </row>
    <row r="21" spans="1:5" x14ac:dyDescent="0.3">
      <c r="A21" s="16" t="s">
        <v>33</v>
      </c>
      <c r="B21" s="17">
        <f>MAX(B5:B7)</f>
        <v>400</v>
      </c>
      <c r="C21" s="17">
        <f>MAX(C5:C7)</f>
        <v>500</v>
      </c>
      <c r="D21" s="17">
        <f>MAX(D5:D7)</f>
        <v>800</v>
      </c>
    </row>
    <row r="23" spans="1:5" ht="15.6" x14ac:dyDescent="0.3">
      <c r="A23" s="54" t="s">
        <v>34</v>
      </c>
      <c r="B23" s="43"/>
      <c r="C23" s="43"/>
      <c r="D23" s="43"/>
      <c r="E23" s="43"/>
    </row>
    <row r="24" spans="1:5" x14ac:dyDescent="0.3">
      <c r="A24" s="51" t="s">
        <v>22</v>
      </c>
      <c r="B24" s="52" t="s">
        <v>2</v>
      </c>
      <c r="C24" s="52" t="s">
        <v>3</v>
      </c>
      <c r="D24" s="52" t="s">
        <v>4</v>
      </c>
      <c r="E24" s="53" t="s">
        <v>66</v>
      </c>
    </row>
    <row r="25" spans="1:5" x14ac:dyDescent="0.3">
      <c r="A25" s="20" t="s">
        <v>23</v>
      </c>
      <c r="B25" s="21">
        <f t="shared" ref="B25:D27" si="1">B$21-B5</f>
        <v>0</v>
      </c>
      <c r="C25" s="21">
        <f t="shared" si="1"/>
        <v>100</v>
      </c>
      <c r="D25" s="21">
        <f t="shared" si="1"/>
        <v>400</v>
      </c>
      <c r="E25" s="23">
        <f>MAX(B25:D25)</f>
        <v>400</v>
      </c>
    </row>
    <row r="26" spans="1:5" x14ac:dyDescent="0.3">
      <c r="A26" s="20" t="s">
        <v>3</v>
      </c>
      <c r="B26" s="21">
        <f t="shared" si="1"/>
        <v>200</v>
      </c>
      <c r="C26" s="21">
        <f t="shared" si="1"/>
        <v>0</v>
      </c>
      <c r="D26" s="21">
        <f t="shared" si="1"/>
        <v>300</v>
      </c>
      <c r="E26" s="23">
        <f>MAX(B26:D26)</f>
        <v>300</v>
      </c>
    </row>
    <row r="27" spans="1:5" x14ac:dyDescent="0.3">
      <c r="A27" s="55" t="s">
        <v>24</v>
      </c>
      <c r="B27" s="56">
        <f t="shared" si="1"/>
        <v>800</v>
      </c>
      <c r="C27" s="56">
        <f t="shared" si="1"/>
        <v>200</v>
      </c>
      <c r="D27" s="56">
        <f t="shared" si="1"/>
        <v>0</v>
      </c>
      <c r="E27" s="57">
        <f>MAX(B27:D27)</f>
        <v>800</v>
      </c>
    </row>
    <row r="28" spans="1:5" x14ac:dyDescent="0.3">
      <c r="A28" s="41"/>
      <c r="B28" s="41"/>
      <c r="C28" s="41"/>
      <c r="D28" s="41"/>
      <c r="E28" s="41"/>
    </row>
    <row r="29" spans="1:5" x14ac:dyDescent="0.3">
      <c r="A29" s="12" t="s">
        <v>27</v>
      </c>
      <c r="B29" s="14" t="str">
        <f>INDEX(A25:A27,MATCH(MIN(E25:E27),E25:E27,0))</f>
        <v>Medium</v>
      </c>
      <c r="C29" s="15" t="s">
        <v>35</v>
      </c>
    </row>
    <row r="30" spans="1:5" x14ac:dyDescent="0.3">
      <c r="A30" s="12" t="s">
        <v>36</v>
      </c>
      <c r="B30" s="14">
        <f>MIN(E25:E27)</f>
        <v>300</v>
      </c>
    </row>
    <row r="32" spans="1:5" ht="15.6" x14ac:dyDescent="0.3">
      <c r="A32" s="54" t="s">
        <v>67</v>
      </c>
      <c r="B32" s="43"/>
      <c r="C32" s="43"/>
      <c r="D32" s="43"/>
      <c r="E32" s="43"/>
    </row>
    <row r="33" spans="1:5" x14ac:dyDescent="0.3">
      <c r="A33" s="51" t="s">
        <v>22</v>
      </c>
      <c r="B33" s="52" t="s">
        <v>2</v>
      </c>
      <c r="C33" s="52" t="s">
        <v>3</v>
      </c>
      <c r="D33" s="52" t="s">
        <v>4</v>
      </c>
      <c r="E33" s="53" t="s">
        <v>26</v>
      </c>
    </row>
    <row r="34" spans="1:5" x14ac:dyDescent="0.3">
      <c r="A34" s="20" t="s">
        <v>23</v>
      </c>
      <c r="B34" s="21">
        <f t="shared" ref="B34:D36" si="2">B5</f>
        <v>400</v>
      </c>
      <c r="C34" s="21">
        <f t="shared" si="2"/>
        <v>400</v>
      </c>
      <c r="D34" s="21">
        <f t="shared" si="2"/>
        <v>400</v>
      </c>
      <c r="E34" s="23">
        <f>MAX(B34:D34)</f>
        <v>400</v>
      </c>
    </row>
    <row r="35" spans="1:5" x14ac:dyDescent="0.3">
      <c r="A35" s="20" t="s">
        <v>3</v>
      </c>
      <c r="B35" s="21">
        <f t="shared" si="2"/>
        <v>200</v>
      </c>
      <c r="C35" s="21">
        <f t="shared" si="2"/>
        <v>500</v>
      </c>
      <c r="D35" s="21">
        <f t="shared" si="2"/>
        <v>500</v>
      </c>
      <c r="E35" s="23">
        <f>MAX(B35:D35)</f>
        <v>500</v>
      </c>
    </row>
    <row r="36" spans="1:5" x14ac:dyDescent="0.3">
      <c r="A36" s="55" t="s">
        <v>24</v>
      </c>
      <c r="B36" s="56">
        <f t="shared" si="2"/>
        <v>-400</v>
      </c>
      <c r="C36" s="56">
        <f t="shared" si="2"/>
        <v>300</v>
      </c>
      <c r="D36" s="56">
        <f t="shared" si="2"/>
        <v>800</v>
      </c>
      <c r="E36" s="57">
        <f>MAX(B36:D36)</f>
        <v>800</v>
      </c>
    </row>
    <row r="37" spans="1:5" x14ac:dyDescent="0.3">
      <c r="A37" s="41"/>
      <c r="B37" s="41"/>
      <c r="C37" s="41"/>
      <c r="D37" s="41"/>
      <c r="E37" s="41"/>
    </row>
    <row r="38" spans="1:5" x14ac:dyDescent="0.3">
      <c r="A38" s="12" t="s">
        <v>27</v>
      </c>
      <c r="B38" s="14" t="str">
        <f>INDEX(A34:A36,MATCH(MAX(E34:E36),E34:E36,0))</f>
        <v>Large</v>
      </c>
      <c r="C38" s="15" t="s">
        <v>28</v>
      </c>
    </row>
    <row r="39" spans="1:5" x14ac:dyDescent="0.3">
      <c r="A39" s="12" t="s">
        <v>29</v>
      </c>
      <c r="B39" s="14">
        <f>MAX(E34:E36)</f>
        <v>800</v>
      </c>
    </row>
    <row r="41" spans="1:5" ht="15.6" x14ac:dyDescent="0.3">
      <c r="A41" s="54" t="s">
        <v>37</v>
      </c>
      <c r="B41" s="43"/>
      <c r="C41" s="43"/>
      <c r="D41" s="43"/>
      <c r="E41" s="43"/>
    </row>
    <row r="42" spans="1:5" x14ac:dyDescent="0.3">
      <c r="A42" s="51" t="s">
        <v>22</v>
      </c>
      <c r="B42" s="52" t="s">
        <v>2</v>
      </c>
      <c r="C42" s="52" t="s">
        <v>3</v>
      </c>
      <c r="D42" s="52" t="s">
        <v>4</v>
      </c>
      <c r="E42" s="53" t="s">
        <v>38</v>
      </c>
    </row>
    <row r="43" spans="1:5" x14ac:dyDescent="0.3">
      <c r="A43" s="20" t="s">
        <v>23</v>
      </c>
      <c r="B43" s="21">
        <f t="shared" ref="B43:D45" si="3">B5</f>
        <v>400</v>
      </c>
      <c r="C43" s="21">
        <f t="shared" si="3"/>
        <v>400</v>
      </c>
      <c r="D43" s="21">
        <f t="shared" si="3"/>
        <v>400</v>
      </c>
      <c r="E43" s="23">
        <f>SUMPRODUCT(B43:D43,$B$9:$D$9)</f>
        <v>400</v>
      </c>
    </row>
    <row r="44" spans="1:5" x14ac:dyDescent="0.3">
      <c r="A44" s="20" t="s">
        <v>3</v>
      </c>
      <c r="B44" s="21">
        <f t="shared" si="3"/>
        <v>200</v>
      </c>
      <c r="C44" s="21">
        <f t="shared" si="3"/>
        <v>500</v>
      </c>
      <c r="D44" s="21">
        <f t="shared" si="3"/>
        <v>500</v>
      </c>
      <c r="E44" s="23">
        <f>SUMPRODUCT(B44:D44,$B$9:$D$9)</f>
        <v>434.75</v>
      </c>
    </row>
    <row r="45" spans="1:5" x14ac:dyDescent="0.3">
      <c r="A45" s="55" t="s">
        <v>24</v>
      </c>
      <c r="B45" s="56">
        <f t="shared" si="3"/>
        <v>-400</v>
      </c>
      <c r="C45" s="56">
        <f t="shared" si="3"/>
        <v>300</v>
      </c>
      <c r="D45" s="56">
        <f t="shared" si="3"/>
        <v>800</v>
      </c>
      <c r="E45" s="57">
        <f>SUMPRODUCT(B45:D45,$B$9:$D$9)</f>
        <v>361.5</v>
      </c>
    </row>
    <row r="46" spans="1:5" x14ac:dyDescent="0.3">
      <c r="A46" s="41"/>
      <c r="B46" s="41"/>
      <c r="C46" s="41"/>
      <c r="D46" s="41"/>
      <c r="E46" s="41"/>
    </row>
    <row r="47" spans="1:5" x14ac:dyDescent="0.3">
      <c r="A47" s="12" t="s">
        <v>27</v>
      </c>
      <c r="B47" s="14" t="str">
        <f>INDEX(A43:A45,MATCH(MAX(E43:E45),E43:E45,0))</f>
        <v>Medium</v>
      </c>
      <c r="C47" s="15" t="s">
        <v>39</v>
      </c>
    </row>
    <row r="48" spans="1:5" x14ac:dyDescent="0.3">
      <c r="A48" s="12" t="s">
        <v>40</v>
      </c>
      <c r="B48" s="14">
        <f>MAX(E43:E45)</f>
        <v>434.75</v>
      </c>
    </row>
    <row r="50" spans="1:5" ht="15.6" x14ac:dyDescent="0.3">
      <c r="A50" s="54" t="s">
        <v>41</v>
      </c>
      <c r="B50" s="43"/>
      <c r="C50" s="43"/>
      <c r="D50" s="43"/>
      <c r="E50" s="43"/>
    </row>
    <row r="51" spans="1:5" x14ac:dyDescent="0.3">
      <c r="A51" s="16" t="s">
        <v>42</v>
      </c>
    </row>
    <row r="52" spans="1:5" x14ac:dyDescent="0.3">
      <c r="A52" s="18" t="s">
        <v>22</v>
      </c>
      <c r="B52" s="19" t="s">
        <v>2</v>
      </c>
      <c r="C52" s="19" t="s">
        <v>3</v>
      </c>
      <c r="D52" s="19" t="s">
        <v>4</v>
      </c>
      <c r="E52" s="22" t="s">
        <v>43</v>
      </c>
    </row>
    <row r="53" spans="1:5" x14ac:dyDescent="0.3">
      <c r="A53" s="20" t="s">
        <v>23</v>
      </c>
      <c r="B53" s="21">
        <f t="shared" ref="B53:D55" si="4">B25</f>
        <v>0</v>
      </c>
      <c r="C53" s="21">
        <f t="shared" si="4"/>
        <v>100</v>
      </c>
      <c r="D53" s="21">
        <f t="shared" si="4"/>
        <v>400</v>
      </c>
      <c r="E53" s="23">
        <f>SUMPRODUCT(B53:D53,$B$9:$D$9)</f>
        <v>206.5</v>
      </c>
    </row>
    <row r="54" spans="1:5" x14ac:dyDescent="0.3">
      <c r="A54" s="20" t="s">
        <v>3</v>
      </c>
      <c r="B54" s="21">
        <f t="shared" si="4"/>
        <v>200</v>
      </c>
      <c r="C54" s="21">
        <f t="shared" si="4"/>
        <v>0</v>
      </c>
      <c r="D54" s="21">
        <f t="shared" si="4"/>
        <v>300</v>
      </c>
      <c r="E54" s="23">
        <f>SUMPRODUCT(B54:D54,$B$9:$D$9)</f>
        <v>171.75</v>
      </c>
    </row>
    <row r="55" spans="1:5" x14ac:dyDescent="0.3">
      <c r="A55" s="55" t="s">
        <v>24</v>
      </c>
      <c r="B55" s="56">
        <f t="shared" si="4"/>
        <v>800</v>
      </c>
      <c r="C55" s="56">
        <f t="shared" si="4"/>
        <v>200</v>
      </c>
      <c r="D55" s="56">
        <f t="shared" si="4"/>
        <v>0</v>
      </c>
      <c r="E55" s="57">
        <f>SUMPRODUCT(B55:D55,$B$9:$D$9)</f>
        <v>245</v>
      </c>
    </row>
    <row r="56" spans="1:5" x14ac:dyDescent="0.3">
      <c r="A56" s="41"/>
      <c r="B56" s="41"/>
      <c r="C56" s="41"/>
      <c r="D56" s="41"/>
      <c r="E56" s="41"/>
    </row>
    <row r="57" spans="1:5" x14ac:dyDescent="0.3">
      <c r="A57" s="12" t="s">
        <v>27</v>
      </c>
      <c r="B57" s="14" t="str">
        <f>INDEX(A53:A55,MATCH(MIN(E53:E55),E53:E55,0))</f>
        <v>Medium</v>
      </c>
      <c r="C57" s="15" t="s">
        <v>44</v>
      </c>
    </row>
    <row r="58" spans="1:5" x14ac:dyDescent="0.3">
      <c r="A58" s="12" t="s">
        <v>45</v>
      </c>
      <c r="B58" s="14">
        <f>MIN(E53:E55)</f>
        <v>171.75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tabSelected="1" zoomScale="56" zoomScaleNormal="56" workbookViewId="0">
      <selection activeCell="M17" sqref="M17"/>
    </sheetView>
  </sheetViews>
  <sheetFormatPr defaultRowHeight="14.4" x14ac:dyDescent="0.3"/>
  <cols>
    <col min="1" max="1" width="82" bestFit="1" customWidth="1"/>
    <col min="2" max="2" width="14.6640625" bestFit="1" customWidth="1"/>
    <col min="3" max="3" width="32" bestFit="1" customWidth="1"/>
    <col min="4" max="4" width="18.88671875" bestFit="1" customWidth="1"/>
    <col min="5" max="5" width="11.21875" bestFit="1" customWidth="1"/>
  </cols>
  <sheetData>
    <row r="1" spans="1:5" ht="15.6" x14ac:dyDescent="0.3">
      <c r="B1" s="1"/>
      <c r="C1" s="50" t="s">
        <v>85</v>
      </c>
    </row>
    <row r="2" spans="1:5" x14ac:dyDescent="0.3">
      <c r="A2" s="3"/>
      <c r="B2" s="4" t="s">
        <v>0</v>
      </c>
      <c r="C2" s="5"/>
      <c r="D2" s="5"/>
      <c r="E2" s="27" t="s">
        <v>50</v>
      </c>
    </row>
    <row r="3" spans="1:5" x14ac:dyDescent="0.3">
      <c r="A3" s="35" t="s">
        <v>1</v>
      </c>
      <c r="B3" s="35" t="s">
        <v>2</v>
      </c>
      <c r="C3" s="35" t="s">
        <v>3</v>
      </c>
      <c r="D3" s="35" t="s">
        <v>4</v>
      </c>
      <c r="E3" s="36"/>
    </row>
    <row r="4" spans="1:5" x14ac:dyDescent="0.3">
      <c r="A4" s="35" t="s">
        <v>2</v>
      </c>
      <c r="B4" s="37">
        <v>0.16</v>
      </c>
      <c r="C4" s="37">
        <v>0.03</v>
      </c>
      <c r="D4" s="37">
        <v>0.01</v>
      </c>
      <c r="E4" s="38">
        <f>SUM(B4:D4)</f>
        <v>0.2</v>
      </c>
    </row>
    <row r="5" spans="1:5" x14ac:dyDescent="0.3">
      <c r="A5" s="35" t="s">
        <v>3</v>
      </c>
      <c r="B5" s="37">
        <v>3.5000000000000003E-2</v>
      </c>
      <c r="C5" s="37">
        <v>0.28000000000000003</v>
      </c>
      <c r="D5" s="37">
        <v>3.5000000000000003E-2</v>
      </c>
      <c r="E5" s="38">
        <f>SUM(B5:D5)</f>
        <v>0.35000000000000009</v>
      </c>
    </row>
    <row r="6" spans="1:5" x14ac:dyDescent="0.3">
      <c r="A6" s="35" t="s">
        <v>4</v>
      </c>
      <c r="B6" s="37">
        <v>2.2499999999999999E-2</v>
      </c>
      <c r="C6" s="37">
        <v>4.4999999999999998E-2</v>
      </c>
      <c r="D6" s="37">
        <v>0.38250000000000001</v>
      </c>
      <c r="E6" s="38">
        <f>SUM(B6:D6)</f>
        <v>0.45</v>
      </c>
    </row>
    <row r="7" spans="1:5" x14ac:dyDescent="0.3">
      <c r="A7" s="39" t="s">
        <v>63</v>
      </c>
      <c r="B7" s="38">
        <f>SUM(B4:B6)</f>
        <v>0.2175</v>
      </c>
      <c r="C7" s="38">
        <f>SUM(C4:C6)</f>
        <v>0.35500000000000004</v>
      </c>
      <c r="D7" s="38">
        <f>SUM(D4:D6)</f>
        <v>0.42749999999999999</v>
      </c>
      <c r="E7" s="40">
        <f>SUM(B7:D7)</f>
        <v>1</v>
      </c>
    </row>
    <row r="8" spans="1:5" ht="15.6" x14ac:dyDescent="0.3">
      <c r="A8" s="3"/>
      <c r="C8" s="2" t="s">
        <v>5</v>
      </c>
    </row>
    <row r="9" spans="1:5" ht="15.6" x14ac:dyDescent="0.3">
      <c r="A9" s="3"/>
      <c r="C9" s="2" t="s">
        <v>6</v>
      </c>
    </row>
    <row r="10" spans="1:5" x14ac:dyDescent="0.3">
      <c r="A10" s="3"/>
      <c r="B10" s="4" t="s">
        <v>0</v>
      </c>
      <c r="C10" s="5"/>
      <c r="D10" s="5"/>
      <c r="E10" s="27" t="s">
        <v>49</v>
      </c>
    </row>
    <row r="11" spans="1:5" x14ac:dyDescent="0.3">
      <c r="A11" s="35" t="s">
        <v>1</v>
      </c>
      <c r="B11" s="35" t="s">
        <v>2</v>
      </c>
      <c r="C11" s="35" t="s">
        <v>3</v>
      </c>
      <c r="D11" s="35" t="s">
        <v>4</v>
      </c>
      <c r="E11" s="42"/>
    </row>
    <row r="12" spans="1:5" x14ac:dyDescent="0.3">
      <c r="A12" s="35" t="s">
        <v>2</v>
      </c>
      <c r="B12" s="37">
        <f>B4/SUM(B4:D4)</f>
        <v>0.79999999999999993</v>
      </c>
      <c r="C12" s="37">
        <f>C4/SUM(B4:D4)</f>
        <v>0.15</v>
      </c>
      <c r="D12" s="37">
        <f>D4/SUM(B4:D4)</f>
        <v>4.9999999999999996E-2</v>
      </c>
      <c r="E12" s="38">
        <f>SUM(B12:D12)</f>
        <v>1</v>
      </c>
    </row>
    <row r="13" spans="1:5" x14ac:dyDescent="0.3">
      <c r="A13" s="35" t="s">
        <v>3</v>
      </c>
      <c r="B13" s="37">
        <f>B5/SUM(B5:D5)</f>
        <v>9.9999999999999978E-2</v>
      </c>
      <c r="C13" s="37">
        <f>C5/SUM(B5:D5)</f>
        <v>0.79999999999999982</v>
      </c>
      <c r="D13" s="37">
        <f>D5/SUM(B5:D5)</f>
        <v>9.9999999999999978E-2</v>
      </c>
      <c r="E13" s="38">
        <f>SUM(B13:D13)</f>
        <v>0.99999999999999978</v>
      </c>
    </row>
    <row r="14" spans="1:5" x14ac:dyDescent="0.3">
      <c r="A14" s="35" t="s">
        <v>4</v>
      </c>
      <c r="B14" s="37">
        <f>B6/SUM(B6:D6)</f>
        <v>4.9999999999999996E-2</v>
      </c>
      <c r="C14" s="37">
        <f>C6/SUM(B6:D6)</f>
        <v>9.9999999999999992E-2</v>
      </c>
      <c r="D14" s="37">
        <f>D6/SUM(B6:D6)</f>
        <v>0.85</v>
      </c>
      <c r="E14" s="38">
        <f>SUM(B14:D14)</f>
        <v>1</v>
      </c>
    </row>
    <row r="15" spans="1:5" x14ac:dyDescent="0.3">
      <c r="A15" s="3"/>
    </row>
    <row r="16" spans="1:5" ht="15.6" x14ac:dyDescent="0.3">
      <c r="A16" s="29" t="s">
        <v>51</v>
      </c>
    </row>
    <row r="17" spans="1:5" x14ac:dyDescent="0.3">
      <c r="B17" s="27" t="s">
        <v>52</v>
      </c>
    </row>
    <row r="18" spans="1:5" x14ac:dyDescent="0.3">
      <c r="A18" s="39" t="s">
        <v>22</v>
      </c>
      <c r="B18" s="44" t="s">
        <v>2</v>
      </c>
      <c r="C18" s="44" t="s">
        <v>3</v>
      </c>
      <c r="D18" s="44" t="s">
        <v>4</v>
      </c>
      <c r="E18" s="44" t="s">
        <v>38</v>
      </c>
    </row>
    <row r="19" spans="1:5" x14ac:dyDescent="0.3">
      <c r="A19" s="39" t="s">
        <v>23</v>
      </c>
      <c r="B19" s="21">
        <v>400</v>
      </c>
      <c r="C19" s="21">
        <v>400</v>
      </c>
      <c r="D19" s="21">
        <v>400</v>
      </c>
      <c r="E19" s="45">
        <f>SUMPRODUCT(B19:D19,$B$22:$D$22)</f>
        <v>400</v>
      </c>
    </row>
    <row r="20" spans="1:5" x14ac:dyDescent="0.3">
      <c r="A20" s="39" t="s">
        <v>3</v>
      </c>
      <c r="B20" s="21">
        <v>200</v>
      </c>
      <c r="C20" s="21">
        <v>500</v>
      </c>
      <c r="D20" s="21">
        <v>500</v>
      </c>
      <c r="E20" s="47">
        <f>SUMPRODUCT(B20:D20,$B$22:$D$22)</f>
        <v>434.75</v>
      </c>
    </row>
    <row r="21" spans="1:5" x14ac:dyDescent="0.3">
      <c r="A21" s="39" t="s">
        <v>24</v>
      </c>
      <c r="B21" s="21">
        <v>-400</v>
      </c>
      <c r="C21" s="21">
        <v>300</v>
      </c>
      <c r="D21" s="21">
        <v>800</v>
      </c>
      <c r="E21" s="45">
        <f>SUMPRODUCT(B21:D21,$B$22:$D$22)</f>
        <v>361.5</v>
      </c>
    </row>
    <row r="22" spans="1:5" x14ac:dyDescent="0.3">
      <c r="A22" s="39" t="s">
        <v>25</v>
      </c>
      <c r="B22" s="37">
        <f>B7</f>
        <v>0.2175</v>
      </c>
      <c r="C22" s="37">
        <f>C7</f>
        <v>0.35500000000000004</v>
      </c>
      <c r="D22" s="37">
        <f>D7</f>
        <v>0.42749999999999999</v>
      </c>
      <c r="E22" s="42"/>
    </row>
    <row r="24" spans="1:5" x14ac:dyDescent="0.3">
      <c r="A24" s="28" t="s">
        <v>46</v>
      </c>
      <c r="B24" s="24" t="str">
        <f>INDEX(A19:A21,MATCH(MAX(E19:E21),E19:E21,0))</f>
        <v>Medium</v>
      </c>
    </row>
    <row r="25" spans="1:5" x14ac:dyDescent="0.3">
      <c r="A25" s="28" t="s">
        <v>47</v>
      </c>
      <c r="B25" s="48">
        <f>MAX(E19:E21)</f>
        <v>434.75</v>
      </c>
    </row>
    <row r="26" spans="1:5" x14ac:dyDescent="0.3">
      <c r="A26" s="30" t="s">
        <v>53</v>
      </c>
    </row>
    <row r="28" spans="1:5" ht="15.6" x14ac:dyDescent="0.3">
      <c r="A28" s="31" t="s">
        <v>54</v>
      </c>
    </row>
    <row r="30" spans="1:5" x14ac:dyDescent="0.3">
      <c r="A30" s="44" t="s">
        <v>55</v>
      </c>
      <c r="B30" s="44" t="s">
        <v>50</v>
      </c>
      <c r="C30" s="44" t="s">
        <v>56</v>
      </c>
      <c r="D30" s="44" t="s">
        <v>57</v>
      </c>
    </row>
    <row r="31" spans="1:5" x14ac:dyDescent="0.3">
      <c r="A31" s="44" t="s">
        <v>2</v>
      </c>
      <c r="B31" s="37">
        <f>E4</f>
        <v>0.2</v>
      </c>
      <c r="C31" s="46" t="str" cm="1">
        <f t="array" ref="C31">INDEX({"Small","Medium","Large"},'c) Tree diagram'!J23)</f>
        <v>Small</v>
      </c>
      <c r="D31" s="45">
        <f>'c) Tree diagram'!I24</f>
        <v>400</v>
      </c>
    </row>
    <row r="32" spans="1:5" x14ac:dyDescent="0.3">
      <c r="A32" s="44" t="s">
        <v>3</v>
      </c>
      <c r="B32" s="37">
        <f>E5</f>
        <v>0.35000000000000009</v>
      </c>
      <c r="C32" s="46" t="str" cm="1">
        <f t="array" ref="C32">INDEX({"Small","Medium","Large"},'c) Tree diagram'!J68)</f>
        <v>Medium</v>
      </c>
      <c r="D32" s="45">
        <f>'c) Tree diagram'!I69</f>
        <v>469.99999999999989</v>
      </c>
    </row>
    <row r="33" spans="1:4" x14ac:dyDescent="0.3">
      <c r="A33" s="44" t="s">
        <v>4</v>
      </c>
      <c r="B33" s="37">
        <f>E6</f>
        <v>0.45</v>
      </c>
      <c r="C33" s="46" t="str" cm="1">
        <f t="array" ref="C33">INDEX({"Small","Medium","Large"},'c) Tree diagram'!J113)</f>
        <v>Large</v>
      </c>
      <c r="D33" s="45">
        <f>'c) Tree diagram'!I114</f>
        <v>690</v>
      </c>
    </row>
    <row r="35" spans="1:4" x14ac:dyDescent="0.3">
      <c r="A35" s="27" t="s">
        <v>48</v>
      </c>
      <c r="B35" s="48">
        <f>SUMPRODUCT(B31:B33,D31:D33)</f>
        <v>555</v>
      </c>
      <c r="C35" s="32" t="s">
        <v>58</v>
      </c>
    </row>
    <row r="37" spans="1:4" ht="15.6" x14ac:dyDescent="0.3">
      <c r="A37" s="29" t="s">
        <v>84</v>
      </c>
    </row>
    <row r="39" spans="1:4" x14ac:dyDescent="0.3">
      <c r="A39" s="26" t="s">
        <v>59</v>
      </c>
      <c r="B39" s="33">
        <f>B35</f>
        <v>555</v>
      </c>
    </row>
    <row r="40" spans="1:4" x14ac:dyDescent="0.3">
      <c r="A40" s="26" t="s">
        <v>60</v>
      </c>
      <c r="B40" s="33">
        <f>B25</f>
        <v>434.75</v>
      </c>
    </row>
    <row r="42" spans="1:4" x14ac:dyDescent="0.3">
      <c r="A42" s="26" t="s">
        <v>61</v>
      </c>
      <c r="B42" s="49">
        <f>B39-B40</f>
        <v>120.25</v>
      </c>
    </row>
    <row r="44" spans="1:4" x14ac:dyDescent="0.3">
      <c r="A44" s="34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35"/>
  <sheetViews>
    <sheetView topLeftCell="A11" zoomScale="78" zoomScaleNormal="78" workbookViewId="0">
      <selection activeCell="P29" sqref="P29"/>
    </sheetView>
  </sheetViews>
  <sheetFormatPr defaultRowHeight="14.4" x14ac:dyDescent="0.3"/>
  <cols>
    <col min="2" max="2" width="2.33203125" customWidth="1"/>
    <col min="3" max="3" width="3.6640625" customWidth="1"/>
    <col min="6" max="6" width="2.33203125" customWidth="1"/>
    <col min="7" max="7" width="3.6640625" customWidth="1"/>
    <col min="10" max="10" width="2.33203125" customWidth="1"/>
    <col min="11" max="11" width="3.6640625" customWidth="1"/>
    <col min="14" max="14" width="2.33203125" customWidth="1"/>
    <col min="15" max="15" width="3.6640625" customWidth="1"/>
    <col min="18" max="18" width="2.33203125" customWidth="1"/>
  </cols>
  <sheetData>
    <row r="1" spans="12:25" ht="15" customHeight="1" x14ac:dyDescent="0.3">
      <c r="P1" s="6">
        <f>'P10. a,b,d,e, '!B12</f>
        <v>0.79999999999999993</v>
      </c>
    </row>
    <row r="2" spans="12:25" ht="15" customHeight="1" x14ac:dyDescent="0.3">
      <c r="P2" t="s">
        <v>7</v>
      </c>
      <c r="X2" s="6"/>
      <c r="Y2" s="7" t="s">
        <v>8</v>
      </c>
    </row>
    <row r="3" spans="12:25" ht="12" customHeight="1" x14ac:dyDescent="0.3">
      <c r="S3">
        <f>SUM($P$4,$L$9,$H$24,$D$69)</f>
        <v>400</v>
      </c>
    </row>
    <row r="4" spans="12:25" ht="15" customHeight="1" x14ac:dyDescent="0.3">
      <c r="P4" s="8">
        <v>400</v>
      </c>
      <c r="Q4">
        <f>$S$3</f>
        <v>400</v>
      </c>
      <c r="X4" s="9"/>
      <c r="Y4" s="7" t="s">
        <v>9</v>
      </c>
    </row>
    <row r="5" spans="12:25" ht="15" customHeight="1" x14ac:dyDescent="0.3"/>
    <row r="6" spans="12:25" ht="15" customHeight="1" x14ac:dyDescent="0.3">
      <c r="P6" s="6">
        <f>'P10. a,b,d,e, '!C12</f>
        <v>0.15</v>
      </c>
      <c r="X6" s="8"/>
      <c r="Y6" s="7" t="s">
        <v>10</v>
      </c>
    </row>
    <row r="7" spans="12:25" ht="15" customHeight="1" x14ac:dyDescent="0.3">
      <c r="L7" t="s">
        <v>11</v>
      </c>
      <c r="P7" t="s">
        <v>12</v>
      </c>
    </row>
    <row r="8" spans="12:25" ht="12" customHeight="1" x14ac:dyDescent="0.3">
      <c r="S8">
        <f>SUM($P$9,$L$9,$H$24,$D$69)</f>
        <v>400</v>
      </c>
    </row>
    <row r="9" spans="12:25" ht="15" customHeight="1" x14ac:dyDescent="0.3">
      <c r="L9">
        <v>0</v>
      </c>
      <c r="M9">
        <f>IF(ABS(1-SUM($P$1,$P$6,$P$11))&lt;=0.00001,SUM($P$1*$Q$4,$P$6*$Q$9,$P$11*$Q$14),NA())</f>
        <v>400</v>
      </c>
      <c r="P9" s="8">
        <v>400</v>
      </c>
      <c r="Q9">
        <f>$S$8</f>
        <v>400</v>
      </c>
    </row>
    <row r="10" spans="12:25" ht="15" customHeight="1" x14ac:dyDescent="0.3"/>
    <row r="11" spans="12:25" ht="15" customHeight="1" x14ac:dyDescent="0.3">
      <c r="P11" s="6">
        <f>'P10. a,b,d,e, '!D12</f>
        <v>4.9999999999999996E-2</v>
      </c>
    </row>
    <row r="12" spans="12:25" ht="15" customHeight="1" x14ac:dyDescent="0.3">
      <c r="P12" t="s">
        <v>13</v>
      </c>
    </row>
    <row r="13" spans="12:25" ht="12" customHeight="1" x14ac:dyDescent="0.3">
      <c r="S13">
        <f>SUM($P$14,$L$9,$H$24,$D$69)</f>
        <v>400</v>
      </c>
    </row>
    <row r="14" spans="12:25" ht="15" customHeight="1" x14ac:dyDescent="0.3">
      <c r="P14" s="8">
        <v>400</v>
      </c>
      <c r="Q14">
        <f>$S$13</f>
        <v>400</v>
      </c>
    </row>
    <row r="15" spans="12:25" ht="15" customHeight="1" x14ac:dyDescent="0.3"/>
    <row r="16" spans="12:25" ht="15" customHeight="1" x14ac:dyDescent="0.3">
      <c r="P16" s="6">
        <f>'P10. a,b,d,e, '!B12</f>
        <v>0.79999999999999993</v>
      </c>
    </row>
    <row r="17" spans="8:19" ht="15" customHeight="1" x14ac:dyDescent="0.3">
      <c r="P17" t="s">
        <v>7</v>
      </c>
    </row>
    <row r="18" spans="8:19" ht="12" customHeight="1" x14ac:dyDescent="0.3">
      <c r="S18">
        <f>SUM($P$19,$L$24,$H$24,$D$69)</f>
        <v>200</v>
      </c>
    </row>
    <row r="19" spans="8:19" ht="15" customHeight="1" x14ac:dyDescent="0.3">
      <c r="P19" s="8">
        <v>200</v>
      </c>
      <c r="Q19">
        <f>$S$18</f>
        <v>200</v>
      </c>
    </row>
    <row r="20" spans="8:19" ht="15" customHeight="1" x14ac:dyDescent="0.3"/>
    <row r="21" spans="8:19" ht="15" customHeight="1" x14ac:dyDescent="0.3">
      <c r="H21" s="9">
        <f>SUM('P10. a,b,d,e, '!B4:D4)</f>
        <v>0.2</v>
      </c>
      <c r="P21" s="6">
        <f>'P10. a,b,d,e, '!C12</f>
        <v>0.15</v>
      </c>
    </row>
    <row r="22" spans="8:19" ht="15" customHeight="1" x14ac:dyDescent="0.3">
      <c r="H22" t="s">
        <v>14</v>
      </c>
      <c r="L22" t="s">
        <v>15</v>
      </c>
      <c r="P22" t="s">
        <v>12</v>
      </c>
    </row>
    <row r="23" spans="8:19" ht="12" customHeight="1" x14ac:dyDescent="0.3">
      <c r="J23">
        <f>IF($I$24=$M$9,1,IF($I$24=$M$24,2,IF($I$24=$M$39,3)))</f>
        <v>1</v>
      </c>
      <c r="S23">
        <f>SUM($P$24,$L$24,$H$24,$D$69)</f>
        <v>500</v>
      </c>
    </row>
    <row r="24" spans="8:19" ht="15" customHeight="1" x14ac:dyDescent="0.3">
      <c r="H24">
        <v>0</v>
      </c>
      <c r="I24">
        <f>MAX($M$9,$M$24,$M$39)</f>
        <v>400</v>
      </c>
      <c r="L24">
        <v>0</v>
      </c>
      <c r="M24">
        <f>IF(ABS(1-SUM($P$16,$P$21,$P$26))&lt;=0.00001,SUM($P$16*$Q$19,$P$21*$Q$24,$P$26*$Q$29),NA())</f>
        <v>260</v>
      </c>
      <c r="P24" s="8">
        <v>500</v>
      </c>
      <c r="Q24">
        <f>$S$23</f>
        <v>500</v>
      </c>
    </row>
    <row r="25" spans="8:19" ht="15" customHeight="1" x14ac:dyDescent="0.3"/>
    <row r="26" spans="8:19" ht="15" customHeight="1" x14ac:dyDescent="0.3">
      <c r="P26" s="6">
        <f>'P10. a,b,d,e, '!D12</f>
        <v>4.9999999999999996E-2</v>
      </c>
    </row>
    <row r="27" spans="8:19" ht="15" customHeight="1" x14ac:dyDescent="0.3">
      <c r="P27" t="s">
        <v>13</v>
      </c>
    </row>
    <row r="28" spans="8:19" ht="12" customHeight="1" x14ac:dyDescent="0.3">
      <c r="S28">
        <f>SUM($P$29,$L$24,$H$24,$D$69)</f>
        <v>500</v>
      </c>
    </row>
    <row r="29" spans="8:19" ht="15" customHeight="1" x14ac:dyDescent="0.3">
      <c r="P29" s="8">
        <v>500</v>
      </c>
      <c r="Q29">
        <f>$S$28</f>
        <v>500</v>
      </c>
    </row>
    <row r="30" spans="8:19" ht="15" customHeight="1" x14ac:dyDescent="0.3"/>
    <row r="31" spans="8:19" ht="15" customHeight="1" x14ac:dyDescent="0.3">
      <c r="P31" s="6">
        <f>'P10. a,b,d,e, '!B12</f>
        <v>0.79999999999999993</v>
      </c>
    </row>
    <row r="32" spans="8:19" ht="15" customHeight="1" x14ac:dyDescent="0.3">
      <c r="P32" t="s">
        <v>7</v>
      </c>
    </row>
    <row r="33" spans="12:19" ht="12" customHeight="1" x14ac:dyDescent="0.3">
      <c r="S33">
        <f>SUM($P$34,$L$39,$H$24,$D$69)</f>
        <v>-400</v>
      </c>
    </row>
    <row r="34" spans="12:19" ht="15" customHeight="1" x14ac:dyDescent="0.3">
      <c r="P34" s="8">
        <v>-400</v>
      </c>
      <c r="Q34">
        <f>$S$33</f>
        <v>-400</v>
      </c>
    </row>
    <row r="35" spans="12:19" ht="15" customHeight="1" x14ac:dyDescent="0.3"/>
    <row r="36" spans="12:19" ht="15" customHeight="1" x14ac:dyDescent="0.3">
      <c r="P36" s="6">
        <f>'P10. a,b,d,e, '!C12</f>
        <v>0.15</v>
      </c>
    </row>
    <row r="37" spans="12:19" ht="15" customHeight="1" x14ac:dyDescent="0.3">
      <c r="L37" t="s">
        <v>16</v>
      </c>
      <c r="P37" t="s">
        <v>12</v>
      </c>
    </row>
    <row r="38" spans="12:19" ht="12" customHeight="1" x14ac:dyDescent="0.3">
      <c r="S38">
        <f>SUM($P$39,$L$39,$H$24,$D$69)</f>
        <v>300</v>
      </c>
    </row>
    <row r="39" spans="12:19" ht="15" customHeight="1" x14ac:dyDescent="0.3">
      <c r="L39">
        <v>0</v>
      </c>
      <c r="M39">
        <f>IF(ABS(1-SUM($P$31,$P$36,$P$41))&lt;=0.00001,SUM($P$31*$Q$34,$P$36*$Q$39,$P$41*$Q$44),NA())</f>
        <v>-235</v>
      </c>
      <c r="P39" s="8">
        <v>300</v>
      </c>
      <c r="Q39">
        <f>$S$38</f>
        <v>300</v>
      </c>
    </row>
    <row r="40" spans="12:19" ht="15" customHeight="1" x14ac:dyDescent="0.3"/>
    <row r="41" spans="12:19" ht="15" customHeight="1" x14ac:dyDescent="0.3">
      <c r="P41" s="6">
        <f>'P10. a,b,d,e, '!D12</f>
        <v>4.9999999999999996E-2</v>
      </c>
    </row>
    <row r="42" spans="12:19" ht="15" customHeight="1" x14ac:dyDescent="0.3">
      <c r="P42" t="s">
        <v>13</v>
      </c>
    </row>
    <row r="43" spans="12:19" ht="12" customHeight="1" x14ac:dyDescent="0.3">
      <c r="S43">
        <f>SUM($P$44,$L$39,$H$24,$D$69)</f>
        <v>800</v>
      </c>
    </row>
    <row r="44" spans="12:19" ht="15" customHeight="1" x14ac:dyDescent="0.3">
      <c r="P44" s="8">
        <v>800</v>
      </c>
      <c r="Q44">
        <f>$S$43</f>
        <v>800</v>
      </c>
    </row>
    <row r="45" spans="12:19" ht="15" customHeight="1" x14ac:dyDescent="0.3"/>
    <row r="46" spans="12:19" ht="15" customHeight="1" x14ac:dyDescent="0.3">
      <c r="P46" s="6">
        <f>'P10. a,b,d,e, '!B13</f>
        <v>9.9999999999999978E-2</v>
      </c>
    </row>
    <row r="47" spans="12:19" ht="15" customHeight="1" x14ac:dyDescent="0.3">
      <c r="P47" t="s">
        <v>7</v>
      </c>
    </row>
    <row r="48" spans="12:19" ht="12" customHeight="1" x14ac:dyDescent="0.3">
      <c r="S48">
        <f>SUM($P$49,$L$54,$H$69,$D$69)</f>
        <v>400</v>
      </c>
    </row>
    <row r="49" spans="12:19" ht="15" customHeight="1" x14ac:dyDescent="0.3">
      <c r="P49" s="8">
        <v>400</v>
      </c>
      <c r="Q49">
        <f>$S$48</f>
        <v>400</v>
      </c>
    </row>
    <row r="50" spans="12:19" ht="15" customHeight="1" x14ac:dyDescent="0.3"/>
    <row r="51" spans="12:19" ht="15" customHeight="1" x14ac:dyDescent="0.3">
      <c r="P51" s="6">
        <f>'P10. a,b,d,e, '!C13</f>
        <v>0.79999999999999982</v>
      </c>
    </row>
    <row r="52" spans="12:19" ht="15" customHeight="1" x14ac:dyDescent="0.3">
      <c r="L52" t="s">
        <v>11</v>
      </c>
      <c r="P52" t="s">
        <v>12</v>
      </c>
    </row>
    <row r="53" spans="12:19" ht="12" customHeight="1" x14ac:dyDescent="0.3">
      <c r="S53">
        <f>SUM($P$54,$L$54,$H$69,$D$69)</f>
        <v>400</v>
      </c>
    </row>
    <row r="54" spans="12:19" ht="15" customHeight="1" x14ac:dyDescent="0.3">
      <c r="L54">
        <v>0</v>
      </c>
      <c r="M54">
        <f>IF(ABS(1-SUM($P$46,$P$51,$P$56))&lt;=0.00001,SUM($P$46*$Q$49,$P$51*$Q$54,$P$56*$Q$59),NA())</f>
        <v>399.99999999999994</v>
      </c>
      <c r="P54" s="8">
        <v>400</v>
      </c>
      <c r="Q54">
        <f>$S$53</f>
        <v>400</v>
      </c>
    </row>
    <row r="55" spans="12:19" ht="15" customHeight="1" x14ac:dyDescent="0.3"/>
    <row r="56" spans="12:19" ht="15" customHeight="1" x14ac:dyDescent="0.3">
      <c r="P56" s="6">
        <f>'P10. a,b,d,e, '!D13</f>
        <v>9.9999999999999978E-2</v>
      </c>
    </row>
    <row r="57" spans="12:19" ht="15" customHeight="1" x14ac:dyDescent="0.3">
      <c r="P57" t="s">
        <v>13</v>
      </c>
    </row>
    <row r="58" spans="12:19" ht="12" customHeight="1" x14ac:dyDescent="0.3">
      <c r="S58">
        <f>SUM($P$59,$L$54,$H$69,$D$69)</f>
        <v>400</v>
      </c>
    </row>
    <row r="59" spans="12:19" ht="15" customHeight="1" x14ac:dyDescent="0.3">
      <c r="P59" s="8">
        <v>400</v>
      </c>
      <c r="Q59">
        <f>$S$58</f>
        <v>400</v>
      </c>
    </row>
    <row r="60" spans="12:19" ht="15" customHeight="1" x14ac:dyDescent="0.3"/>
    <row r="61" spans="12:19" ht="15" customHeight="1" x14ac:dyDescent="0.3">
      <c r="P61" s="6">
        <f>'P10. a,b,d,e, '!B13</f>
        <v>9.9999999999999978E-2</v>
      </c>
    </row>
    <row r="62" spans="12:19" ht="15" customHeight="1" x14ac:dyDescent="0.3">
      <c r="P62" t="s">
        <v>7</v>
      </c>
    </row>
    <row r="63" spans="12:19" ht="12" customHeight="1" x14ac:dyDescent="0.3">
      <c r="S63">
        <f>SUM($P$64,$L$69,$H$69,$D$69)</f>
        <v>200</v>
      </c>
    </row>
    <row r="64" spans="12:19" ht="15" customHeight="1" x14ac:dyDescent="0.3">
      <c r="P64" s="8">
        <v>200</v>
      </c>
      <c r="Q64">
        <f>$S$63</f>
        <v>200</v>
      </c>
    </row>
    <row r="65" spans="1:19" ht="15" customHeight="1" x14ac:dyDescent="0.3"/>
    <row r="66" spans="1:19" ht="15" customHeight="1" x14ac:dyDescent="0.3">
      <c r="H66" s="9">
        <f>SUM('P10. a,b,d,e, '!B5:D5)</f>
        <v>0.35000000000000009</v>
      </c>
      <c r="P66" s="6">
        <f>'P10. a,b,d,e, '!C13</f>
        <v>0.79999999999999982</v>
      </c>
    </row>
    <row r="67" spans="1:19" ht="15" customHeight="1" x14ac:dyDescent="0.3">
      <c r="D67" t="s">
        <v>17</v>
      </c>
      <c r="H67" t="s">
        <v>18</v>
      </c>
      <c r="L67" t="s">
        <v>15</v>
      </c>
      <c r="P67" t="s">
        <v>12</v>
      </c>
    </row>
    <row r="68" spans="1:19" ht="12" customHeight="1" x14ac:dyDescent="0.3">
      <c r="B68">
        <f>IF($A$69=$E$69,1)</f>
        <v>1</v>
      </c>
      <c r="J68">
        <f>IF($I$69=$M$54,1,IF($I$69=$M$69,2,IF($I$69=$M$84,3)))</f>
        <v>2</v>
      </c>
      <c r="S68">
        <f>SUM($P$69,$L$69,$H$69,$D$69)</f>
        <v>500</v>
      </c>
    </row>
    <row r="69" spans="1:19" ht="15" customHeight="1" x14ac:dyDescent="0.3">
      <c r="A69">
        <f>MAX($E$69)</f>
        <v>555</v>
      </c>
      <c r="D69">
        <v>0</v>
      </c>
      <c r="E69">
        <f>IF(ABS(1-SUM($H$21,$H$66,$H$111))&lt;=0.00001,SUM($H$21*$I$24,$H$66*$I$69,$H$111*$I$114),NA())</f>
        <v>555</v>
      </c>
      <c r="H69">
        <v>0</v>
      </c>
      <c r="I69">
        <f>MAX($M$54,$M$69,$M$84)</f>
        <v>469.99999999999989</v>
      </c>
      <c r="L69">
        <v>0</v>
      </c>
      <c r="M69">
        <f>IF(ABS(1-SUM($P$61,$P$66,$P$71))&lt;=0.00001,SUM($P$61*$Q$64,$P$66*$Q$69,$P$71*$Q$74),NA())</f>
        <v>469.99999999999989</v>
      </c>
      <c r="P69" s="8">
        <v>500</v>
      </c>
      <c r="Q69">
        <f>$S$68</f>
        <v>500</v>
      </c>
    </row>
    <row r="70" spans="1:19" ht="15" customHeight="1" x14ac:dyDescent="0.3"/>
    <row r="71" spans="1:19" ht="15" customHeight="1" x14ac:dyDescent="0.3">
      <c r="P71" s="6">
        <f>'P10. a,b,d,e, '!D13</f>
        <v>9.9999999999999978E-2</v>
      </c>
    </row>
    <row r="72" spans="1:19" ht="15" customHeight="1" x14ac:dyDescent="0.3">
      <c r="P72" t="s">
        <v>13</v>
      </c>
    </row>
    <row r="73" spans="1:19" ht="12" customHeight="1" x14ac:dyDescent="0.3">
      <c r="S73">
        <f>SUM($P$74,$L$69,$H$69,$D$69)</f>
        <v>500</v>
      </c>
    </row>
    <row r="74" spans="1:19" ht="15" customHeight="1" x14ac:dyDescent="0.3">
      <c r="P74" s="8">
        <v>500</v>
      </c>
      <c r="Q74">
        <f>$S$73</f>
        <v>500</v>
      </c>
    </row>
    <row r="75" spans="1:19" ht="15" customHeight="1" x14ac:dyDescent="0.3"/>
    <row r="76" spans="1:19" ht="15" customHeight="1" x14ac:dyDescent="0.3">
      <c r="P76" s="6">
        <f>'P10. a,b,d,e, '!B13</f>
        <v>9.9999999999999978E-2</v>
      </c>
    </row>
    <row r="77" spans="1:19" ht="15" customHeight="1" x14ac:dyDescent="0.3">
      <c r="P77" t="s">
        <v>7</v>
      </c>
    </row>
    <row r="78" spans="1:19" ht="12" customHeight="1" x14ac:dyDescent="0.3">
      <c r="S78">
        <f>SUM($P$79,$L$84,$H$69,$D$69)</f>
        <v>-400</v>
      </c>
    </row>
    <row r="79" spans="1:19" ht="15" customHeight="1" x14ac:dyDescent="0.3">
      <c r="P79" s="8">
        <v>-400</v>
      </c>
      <c r="Q79">
        <f>$S$78</f>
        <v>-400</v>
      </c>
    </row>
    <row r="80" spans="1:19" ht="15" customHeight="1" x14ac:dyDescent="0.3"/>
    <row r="81" spans="12:19" ht="15" customHeight="1" x14ac:dyDescent="0.3">
      <c r="P81" s="6">
        <f>'P10. a,b,d,e, '!C13</f>
        <v>0.79999999999999982</v>
      </c>
    </row>
    <row r="82" spans="12:19" ht="15" customHeight="1" x14ac:dyDescent="0.3">
      <c r="L82" t="s">
        <v>16</v>
      </c>
      <c r="P82" t="s">
        <v>12</v>
      </c>
    </row>
    <row r="83" spans="12:19" ht="12" customHeight="1" x14ac:dyDescent="0.3">
      <c r="S83">
        <f>SUM($P$84,$L$84,$H$69,$D$69)</f>
        <v>300</v>
      </c>
    </row>
    <row r="84" spans="12:19" ht="15" customHeight="1" x14ac:dyDescent="0.3">
      <c r="L84">
        <v>0</v>
      </c>
      <c r="M84">
        <f>IF(ABS(1-SUM($P$76,$P$81,$P$86))&lt;=0.00001,SUM($P$76*$Q$79,$P$81*$Q$84,$P$86*$Q$89),NA())</f>
        <v>279.99999999999994</v>
      </c>
      <c r="P84" s="8">
        <v>300</v>
      </c>
      <c r="Q84">
        <f>$S$83</f>
        <v>300</v>
      </c>
    </row>
    <row r="85" spans="12:19" ht="15" customHeight="1" x14ac:dyDescent="0.3"/>
    <row r="86" spans="12:19" ht="15" customHeight="1" x14ac:dyDescent="0.3">
      <c r="P86" s="6">
        <f>'P10. a,b,d,e, '!D13</f>
        <v>9.9999999999999978E-2</v>
      </c>
    </row>
    <row r="87" spans="12:19" ht="15" customHeight="1" x14ac:dyDescent="0.3">
      <c r="P87" t="s">
        <v>13</v>
      </c>
    </row>
    <row r="88" spans="12:19" ht="12" customHeight="1" x14ac:dyDescent="0.3">
      <c r="S88">
        <f>SUM($P$89,$L$84,$H$69,$D$69)</f>
        <v>800</v>
      </c>
    </row>
    <row r="89" spans="12:19" ht="15" customHeight="1" x14ac:dyDescent="0.3">
      <c r="P89" s="8">
        <v>800</v>
      </c>
      <c r="Q89">
        <f>$S$88</f>
        <v>800</v>
      </c>
    </row>
    <row r="90" spans="12:19" ht="15" customHeight="1" x14ac:dyDescent="0.3"/>
    <row r="91" spans="12:19" ht="15" customHeight="1" x14ac:dyDescent="0.3">
      <c r="P91" s="6">
        <f>'P10. a,b,d,e, '!B14</f>
        <v>4.9999999999999996E-2</v>
      </c>
    </row>
    <row r="92" spans="12:19" ht="15" customHeight="1" x14ac:dyDescent="0.3">
      <c r="P92" t="s">
        <v>7</v>
      </c>
    </row>
    <row r="93" spans="12:19" ht="12" customHeight="1" x14ac:dyDescent="0.3">
      <c r="S93">
        <f>SUM($P$94,$L$99,$H$114,$D$69)</f>
        <v>400</v>
      </c>
    </row>
    <row r="94" spans="12:19" ht="15" customHeight="1" x14ac:dyDescent="0.3">
      <c r="P94" s="8">
        <v>400</v>
      </c>
      <c r="Q94">
        <f>$S$93</f>
        <v>400</v>
      </c>
    </row>
    <row r="95" spans="12:19" ht="15" customHeight="1" x14ac:dyDescent="0.3"/>
    <row r="96" spans="12:19" ht="15" customHeight="1" x14ac:dyDescent="0.3">
      <c r="P96" s="6">
        <f>'P10. a,b,d,e, '!C14</f>
        <v>9.9999999999999992E-2</v>
      </c>
    </row>
    <row r="97" spans="8:19" ht="15" customHeight="1" x14ac:dyDescent="0.3">
      <c r="L97" t="s">
        <v>11</v>
      </c>
      <c r="P97" t="s">
        <v>12</v>
      </c>
    </row>
    <row r="98" spans="8:19" ht="12" customHeight="1" x14ac:dyDescent="0.3">
      <c r="S98">
        <f>SUM($P$99,$L$99,$H$114,$D$69)</f>
        <v>400</v>
      </c>
    </row>
    <row r="99" spans="8:19" ht="15" customHeight="1" x14ac:dyDescent="0.3">
      <c r="L99">
        <v>0</v>
      </c>
      <c r="M99">
        <f>IF(ABS(1-SUM($P$91,$P$96,$P$101))&lt;=0.00001,SUM($P$91*$Q$94,$P$96*$Q$99,$P$101*$Q$104),NA())</f>
        <v>400</v>
      </c>
      <c r="P99" s="8">
        <v>400</v>
      </c>
      <c r="Q99">
        <f>$S$98</f>
        <v>400</v>
      </c>
    </row>
    <row r="100" spans="8:19" ht="15" customHeight="1" x14ac:dyDescent="0.3"/>
    <row r="101" spans="8:19" ht="15" customHeight="1" x14ac:dyDescent="0.3">
      <c r="P101" s="6">
        <f>'P10. a,b,d,e, '!D14</f>
        <v>0.85</v>
      </c>
    </row>
    <row r="102" spans="8:19" ht="15" customHeight="1" x14ac:dyDescent="0.3">
      <c r="P102" t="s">
        <v>13</v>
      </c>
    </row>
    <row r="103" spans="8:19" ht="12" customHeight="1" x14ac:dyDescent="0.3">
      <c r="S103">
        <f>SUM($P$104,$L$99,$H$114,$D$69)</f>
        <v>400</v>
      </c>
    </row>
    <row r="104" spans="8:19" ht="15" customHeight="1" x14ac:dyDescent="0.3">
      <c r="P104" s="8">
        <v>400</v>
      </c>
      <c r="Q104">
        <f>$S$103</f>
        <v>400</v>
      </c>
    </row>
    <row r="105" spans="8:19" ht="15" customHeight="1" x14ac:dyDescent="0.3"/>
    <row r="106" spans="8:19" ht="15" customHeight="1" x14ac:dyDescent="0.3">
      <c r="P106" s="6">
        <f>'P10. a,b,d,e, '!B14</f>
        <v>4.9999999999999996E-2</v>
      </c>
    </row>
    <row r="107" spans="8:19" ht="15" customHeight="1" x14ac:dyDescent="0.3">
      <c r="P107" t="s">
        <v>7</v>
      </c>
    </row>
    <row r="108" spans="8:19" ht="12" customHeight="1" x14ac:dyDescent="0.3">
      <c r="S108">
        <f>SUM($P$109,$L$114,$H$114,$D$69)</f>
        <v>200</v>
      </c>
    </row>
    <row r="109" spans="8:19" ht="15" customHeight="1" x14ac:dyDescent="0.3">
      <c r="P109" s="8">
        <v>200</v>
      </c>
      <c r="Q109">
        <f>$S$108</f>
        <v>200</v>
      </c>
    </row>
    <row r="110" spans="8:19" ht="15" customHeight="1" x14ac:dyDescent="0.3"/>
    <row r="111" spans="8:19" ht="15" customHeight="1" x14ac:dyDescent="0.3">
      <c r="H111" s="9">
        <f>SUM('P10. a,b,d,e, '!B6:D6)</f>
        <v>0.45</v>
      </c>
      <c r="P111" s="6">
        <f>'P10. a,b,d,e, '!C14</f>
        <v>9.9999999999999992E-2</v>
      </c>
    </row>
    <row r="112" spans="8:19" ht="15" customHeight="1" x14ac:dyDescent="0.3">
      <c r="H112" t="s">
        <v>19</v>
      </c>
      <c r="L112" t="s">
        <v>15</v>
      </c>
      <c r="P112" t="s">
        <v>12</v>
      </c>
    </row>
    <row r="113" spans="8:19" ht="12" customHeight="1" x14ac:dyDescent="0.3">
      <c r="J113">
        <f>IF($I$114=$M$99,1,IF($I$114=$M$114,2,IF($I$114=$M$129,3)))</f>
        <v>3</v>
      </c>
      <c r="S113">
        <f>SUM($P$114,$L$114,$H$114,$D$69)</f>
        <v>500</v>
      </c>
    </row>
    <row r="114" spans="8:19" ht="15" customHeight="1" x14ac:dyDescent="0.3">
      <c r="H114">
        <v>0</v>
      </c>
      <c r="I114">
        <f>MAX($M$99,$M$114,$M$129)</f>
        <v>690</v>
      </c>
      <c r="L114">
        <v>0</v>
      </c>
      <c r="M114">
        <f>IF(ABS(1-SUM($P$106,$P$111,$P$116))&lt;=0.00001,SUM($P$106*$Q$109,$P$111*$Q$114,$P$116*$Q$119),NA())</f>
        <v>485</v>
      </c>
      <c r="P114" s="8">
        <v>500</v>
      </c>
      <c r="Q114">
        <f>$S$113</f>
        <v>500</v>
      </c>
    </row>
    <row r="115" spans="8:19" ht="15" customHeight="1" x14ac:dyDescent="0.3"/>
    <row r="116" spans="8:19" ht="15" customHeight="1" x14ac:dyDescent="0.3">
      <c r="P116" s="6">
        <f>'P10. a,b,d,e, '!D14</f>
        <v>0.85</v>
      </c>
    </row>
    <row r="117" spans="8:19" ht="15" customHeight="1" x14ac:dyDescent="0.3">
      <c r="P117" t="s">
        <v>13</v>
      </c>
    </row>
    <row r="118" spans="8:19" ht="12" customHeight="1" x14ac:dyDescent="0.3">
      <c r="S118">
        <f>SUM($P$119,$L$114,$H$114,$D$69)</f>
        <v>500</v>
      </c>
    </row>
    <row r="119" spans="8:19" ht="15" customHeight="1" x14ac:dyDescent="0.3">
      <c r="P119" s="8">
        <v>500</v>
      </c>
      <c r="Q119">
        <f>$S$118</f>
        <v>500</v>
      </c>
    </row>
    <row r="120" spans="8:19" ht="15" customHeight="1" x14ac:dyDescent="0.3"/>
    <row r="121" spans="8:19" ht="15" customHeight="1" x14ac:dyDescent="0.3">
      <c r="P121" s="6">
        <f>'P10. a,b,d,e, '!B14</f>
        <v>4.9999999999999996E-2</v>
      </c>
    </row>
    <row r="122" spans="8:19" ht="15" customHeight="1" x14ac:dyDescent="0.3">
      <c r="P122" t="s">
        <v>7</v>
      </c>
    </row>
    <row r="123" spans="8:19" ht="12" customHeight="1" x14ac:dyDescent="0.3">
      <c r="S123">
        <f>SUM($P$124,$L$129,$H$114,$D$69)</f>
        <v>-400</v>
      </c>
    </row>
    <row r="124" spans="8:19" ht="15" customHeight="1" x14ac:dyDescent="0.3">
      <c r="P124" s="8">
        <v>-400</v>
      </c>
      <c r="Q124">
        <f>$S$123</f>
        <v>-400</v>
      </c>
    </row>
    <row r="125" spans="8:19" ht="15" customHeight="1" x14ac:dyDescent="0.3"/>
    <row r="126" spans="8:19" ht="15" customHeight="1" x14ac:dyDescent="0.3">
      <c r="P126" s="6">
        <f>'P10. a,b,d,e, '!C14</f>
        <v>9.9999999999999992E-2</v>
      </c>
    </row>
    <row r="127" spans="8:19" ht="15" customHeight="1" x14ac:dyDescent="0.3">
      <c r="L127" t="s">
        <v>16</v>
      </c>
      <c r="P127" t="s">
        <v>12</v>
      </c>
    </row>
    <row r="128" spans="8:19" ht="12" customHeight="1" x14ac:dyDescent="0.3">
      <c r="S128">
        <f>SUM($P$129,$L$129,$H$114,$D$69)</f>
        <v>300</v>
      </c>
    </row>
    <row r="129" spans="12:19" ht="15" customHeight="1" x14ac:dyDescent="0.3">
      <c r="L129">
        <v>0</v>
      </c>
      <c r="M129">
        <f>IF(ABS(1-SUM($P$121,$P$126,$P$131))&lt;=0.00001,SUM($P$121*$Q$124,$P$126*$Q$129,$P$131*$Q$134),NA())</f>
        <v>690</v>
      </c>
      <c r="P129" s="8">
        <v>300</v>
      </c>
      <c r="Q129">
        <f>$S$128</f>
        <v>300</v>
      </c>
    </row>
    <row r="130" spans="12:19" ht="15" customHeight="1" x14ac:dyDescent="0.3"/>
    <row r="131" spans="12:19" ht="15" customHeight="1" x14ac:dyDescent="0.3">
      <c r="P131" s="6">
        <f>'P10. a,b,d,e, '!D14</f>
        <v>0.85</v>
      </c>
    </row>
    <row r="132" spans="12:19" ht="15" customHeight="1" x14ac:dyDescent="0.3">
      <c r="P132" t="s">
        <v>13</v>
      </c>
    </row>
    <row r="133" spans="12:19" ht="12" customHeight="1" x14ac:dyDescent="0.3">
      <c r="S133">
        <f>SUM($P$134,$L$129,$H$114,$D$69)</f>
        <v>800</v>
      </c>
    </row>
    <row r="134" spans="12:19" ht="15" customHeight="1" x14ac:dyDescent="0.3">
      <c r="P134" s="8">
        <v>800</v>
      </c>
      <c r="Q134">
        <f>$S$133</f>
        <v>800</v>
      </c>
    </row>
    <row r="135" spans="12:19" ht="15" customHeight="1" x14ac:dyDescent="0.3"/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0C216-41BB-4A05-9F39-2149E38E0FBD}">
  <dimension ref="A1:E32"/>
  <sheetViews>
    <sheetView workbookViewId="0">
      <selection activeCell="C21" sqref="C21"/>
    </sheetView>
  </sheetViews>
  <sheetFormatPr defaultRowHeight="14.4" x14ac:dyDescent="0.3"/>
  <cols>
    <col min="1" max="1" width="75.5546875" customWidth="1"/>
    <col min="2" max="2" width="20.109375" customWidth="1"/>
    <col min="3" max="3" width="19.109375" bestFit="1" customWidth="1"/>
    <col min="4" max="4" width="8.5546875" bestFit="1" customWidth="1"/>
    <col min="5" max="5" width="10.21875" bestFit="1" customWidth="1"/>
  </cols>
  <sheetData>
    <row r="1" spans="1:4" ht="18" x14ac:dyDescent="0.35">
      <c r="A1" s="10" t="s">
        <v>80</v>
      </c>
    </row>
    <row r="3" spans="1:4" ht="15.6" x14ac:dyDescent="0.3">
      <c r="A3" s="12" t="s">
        <v>81</v>
      </c>
      <c r="B3" s="66" t="s">
        <v>68</v>
      </c>
    </row>
    <row r="4" spans="1:4" x14ac:dyDescent="0.3">
      <c r="A4" s="12" t="s">
        <v>82</v>
      </c>
      <c r="B4" s="14">
        <v>100</v>
      </c>
      <c r="C4" s="15" t="s">
        <v>83</v>
      </c>
    </row>
    <row r="6" spans="1:4" ht="15.6" x14ac:dyDescent="0.3">
      <c r="A6" s="54" t="s">
        <v>69</v>
      </c>
      <c r="B6" s="43"/>
      <c r="C6" s="43"/>
      <c r="D6" s="43"/>
    </row>
    <row r="7" spans="1:4" x14ac:dyDescent="0.3">
      <c r="A7" s="51" t="s">
        <v>22</v>
      </c>
      <c r="B7" s="52" t="s">
        <v>2</v>
      </c>
      <c r="C7" s="52" t="s">
        <v>3</v>
      </c>
      <c r="D7" s="52" t="s">
        <v>4</v>
      </c>
    </row>
    <row r="8" spans="1:4" x14ac:dyDescent="0.3">
      <c r="A8" s="20" t="s">
        <v>23</v>
      </c>
      <c r="B8" s="21">
        <f>'Problem 9'!B5</f>
        <v>400</v>
      </c>
      <c r="C8" s="21">
        <f>'Problem 9'!C5</f>
        <v>400</v>
      </c>
      <c r="D8" s="21">
        <f>'Problem 9'!D5</f>
        <v>400</v>
      </c>
    </row>
    <row r="9" spans="1:4" x14ac:dyDescent="0.3">
      <c r="A9" s="20" t="s">
        <v>3</v>
      </c>
      <c r="B9" s="21">
        <f>'Problem 9'!B6</f>
        <v>200</v>
      </c>
      <c r="C9" s="21">
        <f>'Problem 9'!C6</f>
        <v>500</v>
      </c>
      <c r="D9" s="21">
        <f>'Problem 9'!D6</f>
        <v>500</v>
      </c>
    </row>
    <row r="10" spans="1:4" x14ac:dyDescent="0.3">
      <c r="A10" s="20" t="s">
        <v>24</v>
      </c>
      <c r="B10" s="21">
        <f>'Problem 9'!B7</f>
        <v>-400</v>
      </c>
      <c r="C10" s="21">
        <f>'Problem 9'!C7</f>
        <v>300</v>
      </c>
      <c r="D10" s="21">
        <f>'Problem 9'!D7</f>
        <v>800</v>
      </c>
    </row>
    <row r="11" spans="1:4" x14ac:dyDescent="0.3">
      <c r="A11" s="12" t="s">
        <v>25</v>
      </c>
      <c r="B11" s="13">
        <f>'Problem 9'!B9</f>
        <v>0.2175</v>
      </c>
      <c r="C11" s="13">
        <f>'Problem 9'!C9</f>
        <v>0.35499999999999998</v>
      </c>
      <c r="D11" s="13">
        <f>'Problem 9'!D9</f>
        <v>0.42749999999999999</v>
      </c>
    </row>
    <row r="13" spans="1:4" ht="15.6" x14ac:dyDescent="0.3">
      <c r="A13" s="61" t="s">
        <v>70</v>
      </c>
      <c r="B13" s="43"/>
      <c r="C13" s="43"/>
      <c r="D13" s="43"/>
    </row>
    <row r="14" spans="1:4" x14ac:dyDescent="0.3">
      <c r="A14" s="51" t="s">
        <v>22</v>
      </c>
      <c r="B14" s="52" t="s">
        <v>2</v>
      </c>
      <c r="C14" s="52" t="s">
        <v>3</v>
      </c>
      <c r="D14" s="52" t="s">
        <v>4</v>
      </c>
    </row>
    <row r="15" spans="1:4" x14ac:dyDescent="0.3">
      <c r="A15" s="20" t="s">
        <v>23</v>
      </c>
      <c r="B15" s="59">
        <f t="shared" ref="B15:D17" si="0">1-EXP(-B8/$B$4)</f>
        <v>0.98168436111126578</v>
      </c>
      <c r="C15" s="59">
        <f t="shared" si="0"/>
        <v>0.98168436111126578</v>
      </c>
      <c r="D15" s="59">
        <f t="shared" si="0"/>
        <v>0.98168436111126578</v>
      </c>
    </row>
    <row r="16" spans="1:4" x14ac:dyDescent="0.3">
      <c r="A16" s="20" t="s">
        <v>3</v>
      </c>
      <c r="B16" s="59">
        <f t="shared" si="0"/>
        <v>0.8646647167633873</v>
      </c>
      <c r="C16" s="59">
        <f t="shared" si="0"/>
        <v>0.99326205300091452</v>
      </c>
      <c r="D16" s="59">
        <f t="shared" si="0"/>
        <v>0.99326205300091452</v>
      </c>
    </row>
    <row r="17" spans="1:5" x14ac:dyDescent="0.3">
      <c r="A17" s="20" t="s">
        <v>24</v>
      </c>
      <c r="B17" s="59">
        <f t="shared" si="0"/>
        <v>-53.598150033144236</v>
      </c>
      <c r="C17" s="59">
        <f t="shared" si="0"/>
        <v>0.95021293163213605</v>
      </c>
      <c r="D17" s="59">
        <f t="shared" si="0"/>
        <v>0.99966453737209748</v>
      </c>
    </row>
    <row r="19" spans="1:5" ht="15.6" x14ac:dyDescent="0.3">
      <c r="A19" s="61" t="s">
        <v>71</v>
      </c>
      <c r="B19" s="43"/>
      <c r="C19" s="43"/>
      <c r="D19" s="43"/>
      <c r="E19" s="43"/>
    </row>
    <row r="20" spans="1:5" x14ac:dyDescent="0.3">
      <c r="A20" s="51" t="s">
        <v>22</v>
      </c>
      <c r="B20" s="52" t="s">
        <v>2</v>
      </c>
      <c r="C20" s="52" t="s">
        <v>3</v>
      </c>
      <c r="D20" s="52" t="s">
        <v>4</v>
      </c>
      <c r="E20" s="53" t="s">
        <v>72</v>
      </c>
    </row>
    <row r="21" spans="1:5" x14ac:dyDescent="0.3">
      <c r="A21" s="20" t="s">
        <v>23</v>
      </c>
      <c r="B21" s="59">
        <f t="shared" ref="B21:D23" si="1">B15</f>
        <v>0.98168436111126578</v>
      </c>
      <c r="C21" s="59">
        <f t="shared" si="1"/>
        <v>0.98168436111126578</v>
      </c>
      <c r="D21" s="59">
        <f t="shared" si="1"/>
        <v>0.98168436111126578</v>
      </c>
      <c r="E21" s="60">
        <f>SUMPRODUCT(B21:D21,$B$11:$D$11)</f>
        <v>0.98168436111126578</v>
      </c>
    </row>
    <row r="22" spans="1:5" x14ac:dyDescent="0.3">
      <c r="A22" s="20" t="s">
        <v>3</v>
      </c>
      <c r="B22" s="59">
        <f t="shared" si="1"/>
        <v>0.8646647167633873</v>
      </c>
      <c r="C22" s="59">
        <f t="shared" si="1"/>
        <v>0.99326205300091452</v>
      </c>
      <c r="D22" s="59">
        <f t="shared" si="1"/>
        <v>0.99326205300091452</v>
      </c>
      <c r="E22" s="60">
        <f>SUMPRODUCT(B22:D22,$B$11:$D$11)</f>
        <v>0.96529213236925226</v>
      </c>
    </row>
    <row r="23" spans="1:5" x14ac:dyDescent="0.3">
      <c r="A23" s="55" t="s">
        <v>24</v>
      </c>
      <c r="B23" s="62">
        <f t="shared" si="1"/>
        <v>-53.598150033144236</v>
      </c>
      <c r="C23" s="62">
        <f t="shared" si="1"/>
        <v>0.95021293163213605</v>
      </c>
      <c r="D23" s="62">
        <f t="shared" si="1"/>
        <v>0.99966453737209748</v>
      </c>
      <c r="E23" s="63">
        <f>SUMPRODUCT(B23:D23,$B$11:$D$11)</f>
        <v>-10.892915451752891</v>
      </c>
    </row>
    <row r="24" spans="1:5" x14ac:dyDescent="0.3">
      <c r="A24" s="41"/>
      <c r="B24" s="41"/>
      <c r="C24" s="41"/>
      <c r="D24" s="41"/>
      <c r="E24" s="41"/>
    </row>
    <row r="25" spans="1:5" x14ac:dyDescent="0.3">
      <c r="A25" s="12" t="s">
        <v>27</v>
      </c>
      <c r="B25" s="64" t="str">
        <f>INDEX(A21:A23,MATCH(MAX(E21:E23),E21:E23,0))</f>
        <v>Small</v>
      </c>
      <c r="C25" s="15" t="s">
        <v>73</v>
      </c>
    </row>
    <row r="26" spans="1:5" x14ac:dyDescent="0.3">
      <c r="A26" s="12" t="s">
        <v>74</v>
      </c>
      <c r="B26" s="65">
        <f>MAX(E21:E23)</f>
        <v>0.98168436111126578</v>
      </c>
    </row>
    <row r="27" spans="1:5" x14ac:dyDescent="0.3">
      <c r="A27" s="41"/>
      <c r="B27" s="41"/>
      <c r="C27" s="41"/>
      <c r="D27" s="41"/>
      <c r="E27" s="41"/>
    </row>
    <row r="28" spans="1:5" x14ac:dyDescent="0.3">
      <c r="A28" s="12" t="s">
        <v>75</v>
      </c>
    </row>
    <row r="29" spans="1:5" x14ac:dyDescent="0.3">
      <c r="A29" s="58" t="s">
        <v>76</v>
      </c>
    </row>
    <row r="30" spans="1:5" x14ac:dyDescent="0.3">
      <c r="A30" s="58" t="s">
        <v>77</v>
      </c>
    </row>
    <row r="31" spans="1:5" x14ac:dyDescent="0.3">
      <c r="A31" s="25" t="s">
        <v>78</v>
      </c>
    </row>
    <row r="32" spans="1:5" x14ac:dyDescent="0.3">
      <c r="A32" s="25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 9</vt:lpstr>
      <vt:lpstr>P10. a,b,d,e, </vt:lpstr>
      <vt:lpstr>c) Tree diagram</vt:lpstr>
      <vt:lpstr>Problem 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Shakila Azad</dc:creator>
  <cp:lastModifiedBy>Shakila Azad</cp:lastModifiedBy>
  <dcterms:created xsi:type="dcterms:W3CDTF">2017-02-28T03:23:12Z</dcterms:created>
  <dcterms:modified xsi:type="dcterms:W3CDTF">2026-05-06T23:38:22Z</dcterms:modified>
</cp:coreProperties>
</file>